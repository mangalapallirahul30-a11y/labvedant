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manga\Downloads\"/>
    </mc:Choice>
  </mc:AlternateContent>
  <xr:revisionPtr revIDLastSave="0" documentId="13_ncr:1_{C8F4C26E-D30A-46CB-B7D9-15507BC9D02B}" xr6:coauthVersionLast="47" xr6:coauthVersionMax="47" xr10:uidLastSave="{00000000-0000-0000-0000-000000000000}"/>
  <bookViews>
    <workbookView xWindow="-110" yWindow="-110" windowWidth="19420" windowHeight="10300" activeTab="2" xr2:uid="{4DB6E71C-8D8E-4404-8A28-DFC4429629D2}"/>
  </bookViews>
  <sheets>
    <sheet name="COVID-19 MASTER DATA" sheetId="1" r:id="rId1"/>
    <sheet name="ANALYSIS" sheetId="2" r:id="rId2"/>
    <sheet name="DASHBOARD" sheetId="3" r:id="rId3"/>
  </sheets>
  <definedNames>
    <definedName name="Slicer_Active">#N/A</definedName>
    <definedName name="Slicer_Active_Ratio">#N/A</definedName>
    <definedName name="Slicer_Region">#N/A</definedName>
    <definedName name="Slicer_State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<sst xmlns="http://schemas.openxmlformats.org/spreadsheetml/2006/main" count="383" uniqueCount="66">
  <si>
    <t>Total Cases</t>
  </si>
  <si>
    <t>Active</t>
  </si>
  <si>
    <t>Discharged</t>
  </si>
  <si>
    <t>Deaths</t>
  </si>
  <si>
    <t>Active Ratio</t>
  </si>
  <si>
    <t>Discharge Ratio</t>
  </si>
  <si>
    <t>Death Ratio</t>
  </si>
  <si>
    <t>Population</t>
  </si>
  <si>
    <t>Andaman and Nicobar</t>
  </si>
  <si>
    <t>Andhra Pradesh</t>
  </si>
  <si>
    <t>Arunachal Pradesh</t>
  </si>
  <si>
    <t>Assam</t>
  </si>
  <si>
    <t>Bihar</t>
  </si>
  <si>
    <t>Chandigarh</t>
  </si>
  <si>
    <t>Chhattisgarh</t>
  </si>
  <si>
    <t>Dadra and Nagar Haveli and Daman and Diu</t>
  </si>
  <si>
    <t>Delhi</t>
  </si>
  <si>
    <t>Goa</t>
  </si>
  <si>
    <t>Gujarat</t>
  </si>
  <si>
    <t>Haryana</t>
  </si>
  <si>
    <t>Himachal Pradesh</t>
  </si>
  <si>
    <t>Jammu and Kashmir</t>
  </si>
  <si>
    <t>Jharkhand</t>
  </si>
  <si>
    <t>Karnataka</t>
  </si>
  <si>
    <t>Kerala</t>
  </si>
  <si>
    <t>Ladakh</t>
  </si>
  <si>
    <t>Lakshadweep</t>
  </si>
  <si>
    <t>Madhya Pradesh</t>
  </si>
  <si>
    <t>Maharashtra</t>
  </si>
  <si>
    <t>Manipur</t>
  </si>
  <si>
    <t>Meghalaya</t>
  </si>
  <si>
    <t>Mizoram</t>
  </si>
  <si>
    <t>Nagaland</t>
  </si>
  <si>
    <t>Odisha</t>
  </si>
  <si>
    <t>Puducherry</t>
  </si>
  <si>
    <t>Punjab</t>
  </si>
  <si>
    <t>Rajasthan</t>
  </si>
  <si>
    <t>Sikkim</t>
  </si>
  <si>
    <t>Tamil Nadu</t>
  </si>
  <si>
    <t>Telengana</t>
  </si>
  <si>
    <t>Tripura</t>
  </si>
  <si>
    <t>Uttar Pradesh</t>
  </si>
  <si>
    <t>Uttarakhand</t>
  </si>
  <si>
    <t>West Bengal</t>
  </si>
  <si>
    <t>States</t>
  </si>
  <si>
    <t>Sum of Total Cases</t>
  </si>
  <si>
    <t>Sum of Active</t>
  </si>
  <si>
    <t>Sum of Discharged</t>
  </si>
  <si>
    <t>Sum of Deaths</t>
  </si>
  <si>
    <t>Row Labels</t>
  </si>
  <si>
    <t>Grand Total</t>
  </si>
  <si>
    <t>Sum of Population</t>
  </si>
  <si>
    <t>No.of States</t>
  </si>
  <si>
    <t xml:space="preserve"> Total Cases</t>
  </si>
  <si>
    <t>Total Deaths</t>
  </si>
  <si>
    <t>Total No.of Discharged</t>
  </si>
  <si>
    <t>Total No.of Active</t>
  </si>
  <si>
    <t>Region</t>
  </si>
  <si>
    <t>Islands</t>
  </si>
  <si>
    <t>South</t>
  </si>
  <si>
    <t>North East</t>
  </si>
  <si>
    <t>East</t>
  </si>
  <si>
    <t>Central</t>
  </si>
  <si>
    <t>North</t>
  </si>
  <si>
    <t>West</t>
  </si>
  <si>
    <t>Sum of Death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</si>
</sst>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2" formatCode="0.00"/>
    </dxf>
    <dxf>
      <numFmt numFmtId="2" formatCode="0.00"/>
    </dxf>
    <dxf>
      <numFmt numFmtId="2" formatCode="0.00"/>
    </dxf>
    <dxf>
      <numFmt numFmtId="2" formatCode="0.00"/>
    </dxf>
    <dxf>
      <numFmt numFmtId="2" formatCode="0.00"/>
    </dxf>
    <dxf>
      <fill>
        <patternFill>
          <bgColor theme="5" tint="0.39994506668294322"/>
        </patternFill>
      </fill>
    </dxf>
  </dxfs>
  <tableStyles count="1" defaultTableStyle="TableStyleMedium2" defaultPivotStyle="PivotStyleLight16">
    <tableStyle name="Slicer Style 1" pivot="0" table="0" count="1" xr9:uid="{100EBF4A-B26E-4FD8-BDF3-1C9A4B2A51B2}">
      <tableStyleElement type="wholeTable" dxfId="5"/>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India Status11.xlsx]ANALYSIS!PivotTable2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ANALYSIS!$B$5</c:f>
              <c:strCache>
                <c:ptCount val="1"/>
                <c:pt idx="0">
                  <c:v>Total</c:v>
                </c:pt>
              </c:strCache>
            </c:strRef>
          </c:tx>
          <c:spPr>
            <a:solidFill>
              <a:schemeClr val="accent1"/>
            </a:solidFill>
            <a:ln>
              <a:noFill/>
            </a:ln>
            <a:effectLst/>
            <a:sp3d/>
          </c:spPr>
          <c:invertIfNegative val="0"/>
          <c:cat>
            <c:strRef>
              <c:f>ANALYSIS!$A$6:$A$42</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ANALYSIS!$B$6:$B$42</c:f>
              <c:numCache>
                <c:formatCode>General</c:formatCode>
                <c:ptCount val="36"/>
                <c:pt idx="0">
                  <c:v>10766</c:v>
                </c:pt>
                <c:pt idx="1">
                  <c:v>2340676</c:v>
                </c:pt>
                <c:pt idx="2">
                  <c:v>67049</c:v>
                </c:pt>
                <c:pt idx="3">
                  <c:v>746159</c:v>
                </c:pt>
                <c:pt idx="4">
                  <c:v>855267</c:v>
                </c:pt>
                <c:pt idx="5">
                  <c:v>100693</c:v>
                </c:pt>
                <c:pt idx="6">
                  <c:v>1187695</c:v>
                </c:pt>
                <c:pt idx="7">
                  <c:v>11592</c:v>
                </c:pt>
                <c:pt idx="8">
                  <c:v>2040910</c:v>
                </c:pt>
                <c:pt idx="9">
                  <c:v>263346</c:v>
                </c:pt>
                <c:pt idx="10">
                  <c:v>1291383</c:v>
                </c:pt>
                <c:pt idx="11">
                  <c:v>1078903</c:v>
                </c:pt>
                <c:pt idx="12">
                  <c:v>322905</c:v>
                </c:pt>
                <c:pt idx="13">
                  <c:v>482023</c:v>
                </c:pt>
                <c:pt idx="14">
                  <c:v>443826</c:v>
                </c:pt>
                <c:pt idx="15">
                  <c:v>4088769</c:v>
                </c:pt>
                <c:pt idx="16">
                  <c:v>6907241</c:v>
                </c:pt>
                <c:pt idx="17">
                  <c:v>29602</c:v>
                </c:pt>
                <c:pt idx="18">
                  <c:v>11415</c:v>
                </c:pt>
                <c:pt idx="19">
                  <c:v>1056351</c:v>
                </c:pt>
                <c:pt idx="20">
                  <c:v>8171048</c:v>
                </c:pt>
                <c:pt idx="21">
                  <c:v>140034</c:v>
                </c:pt>
                <c:pt idx="22">
                  <c:v>96983</c:v>
                </c:pt>
                <c:pt idx="23">
                  <c:v>239560</c:v>
                </c:pt>
                <c:pt idx="24">
                  <c:v>36033</c:v>
                </c:pt>
                <c:pt idx="25">
                  <c:v>1348409</c:v>
                </c:pt>
                <c:pt idx="26">
                  <c:v>177547</c:v>
                </c:pt>
                <c:pt idx="27">
                  <c:v>793644</c:v>
                </c:pt>
                <c:pt idx="28">
                  <c:v>1326465</c:v>
                </c:pt>
                <c:pt idx="29">
                  <c:v>44927</c:v>
                </c:pt>
                <c:pt idx="30">
                  <c:v>3610655</c:v>
                </c:pt>
                <c:pt idx="31">
                  <c:v>844432</c:v>
                </c:pt>
                <c:pt idx="32">
                  <c:v>108493</c:v>
                </c:pt>
                <c:pt idx="33">
                  <c:v>2145431</c:v>
                </c:pt>
                <c:pt idx="34">
                  <c:v>452571</c:v>
                </c:pt>
                <c:pt idx="35">
                  <c:v>2126282</c:v>
                </c:pt>
              </c:numCache>
            </c:numRef>
          </c:val>
          <c:extLst>
            <c:ext xmlns:c16="http://schemas.microsoft.com/office/drawing/2014/chart" uri="{C3380CC4-5D6E-409C-BE32-E72D297353CC}">
              <c16:uniqueId val="{00000000-1A03-456B-9295-D59C6655AD16}"/>
            </c:ext>
          </c:extLst>
        </c:ser>
        <c:dLbls>
          <c:showLegendKey val="0"/>
          <c:showVal val="0"/>
          <c:showCatName val="0"/>
          <c:showSerName val="0"/>
          <c:showPercent val="0"/>
          <c:showBubbleSize val="0"/>
        </c:dLbls>
        <c:gapWidth val="150"/>
        <c:shape val="box"/>
        <c:axId val="1799810223"/>
        <c:axId val="1799803023"/>
        <c:axId val="0"/>
      </c:bar3DChart>
      <c:catAx>
        <c:axId val="17998102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803023"/>
        <c:crosses val="autoZero"/>
        <c:auto val="1"/>
        <c:lblAlgn val="ctr"/>
        <c:lblOffset val="100"/>
        <c:noMultiLvlLbl val="0"/>
      </c:catAx>
      <c:valAx>
        <c:axId val="179980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810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India Status11.xlsx]ANALYSIS!PivotTable4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ANALYSIS!$B$83</c:f>
              <c:strCache>
                <c:ptCount val="1"/>
                <c:pt idx="0">
                  <c:v>Total</c:v>
                </c:pt>
              </c:strCache>
            </c:strRef>
          </c:tx>
          <c:spPr>
            <a:solidFill>
              <a:schemeClr val="accent1"/>
            </a:solidFill>
            <a:ln>
              <a:noFill/>
            </a:ln>
            <a:effectLst/>
          </c:spPr>
          <c:invertIfNegative val="0"/>
          <c:cat>
            <c:strRef>
              <c:f>ANALYSIS!$A$84:$A$120</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ANALYSIS!$B$84:$B$120</c:f>
              <c:numCache>
                <c:formatCode>General</c:formatCode>
                <c:ptCount val="36"/>
                <c:pt idx="0">
                  <c:v>10637</c:v>
                </c:pt>
                <c:pt idx="1">
                  <c:v>2325943</c:v>
                </c:pt>
                <c:pt idx="2">
                  <c:v>66753</c:v>
                </c:pt>
                <c:pt idx="3">
                  <c:v>738119</c:v>
                </c:pt>
                <c:pt idx="4">
                  <c:v>842952</c:v>
                </c:pt>
                <c:pt idx="5">
                  <c:v>99508</c:v>
                </c:pt>
                <c:pt idx="6">
                  <c:v>1173505</c:v>
                </c:pt>
                <c:pt idx="7">
                  <c:v>11588</c:v>
                </c:pt>
                <c:pt idx="8">
                  <c:v>2014230</c:v>
                </c:pt>
                <c:pt idx="9">
                  <c:v>259329</c:v>
                </c:pt>
                <c:pt idx="10">
                  <c:v>1280299</c:v>
                </c:pt>
                <c:pt idx="11">
                  <c:v>1068121</c:v>
                </c:pt>
                <c:pt idx="12">
                  <c:v>318660</c:v>
                </c:pt>
                <c:pt idx="13">
                  <c:v>477231</c:v>
                </c:pt>
                <c:pt idx="14">
                  <c:v>438491</c:v>
                </c:pt>
                <c:pt idx="15">
                  <c:v>4048399</c:v>
                </c:pt>
                <c:pt idx="16">
                  <c:v>6835181</c:v>
                </c:pt>
                <c:pt idx="17">
                  <c:v>29371</c:v>
                </c:pt>
                <c:pt idx="18">
                  <c:v>11363</c:v>
                </c:pt>
                <c:pt idx="19">
                  <c:v>1045565</c:v>
                </c:pt>
                <c:pt idx="20">
                  <c:v>8022276</c:v>
                </c:pt>
                <c:pt idx="21">
                  <c:v>137885</c:v>
                </c:pt>
                <c:pt idx="22">
                  <c:v>95352</c:v>
                </c:pt>
                <c:pt idx="23">
                  <c:v>238825</c:v>
                </c:pt>
                <c:pt idx="24">
                  <c:v>35251</c:v>
                </c:pt>
                <c:pt idx="25">
                  <c:v>1339135</c:v>
                </c:pt>
                <c:pt idx="26">
                  <c:v>175566</c:v>
                </c:pt>
                <c:pt idx="27">
                  <c:v>773073</c:v>
                </c:pt>
                <c:pt idx="28">
                  <c:v>1316727</c:v>
                </c:pt>
                <c:pt idx="29">
                  <c:v>44422</c:v>
                </c:pt>
                <c:pt idx="30">
                  <c:v>3572569</c:v>
                </c:pt>
                <c:pt idx="31">
                  <c:v>840313</c:v>
                </c:pt>
                <c:pt idx="32">
                  <c:v>107550</c:v>
                </c:pt>
                <c:pt idx="33">
                  <c:v>2121662</c:v>
                </c:pt>
                <c:pt idx="34">
                  <c:v>444803</c:v>
                </c:pt>
                <c:pt idx="35">
                  <c:v>2104592</c:v>
                </c:pt>
              </c:numCache>
            </c:numRef>
          </c:val>
          <c:extLst>
            <c:ext xmlns:c16="http://schemas.microsoft.com/office/drawing/2014/chart" uri="{C3380CC4-5D6E-409C-BE32-E72D297353CC}">
              <c16:uniqueId val="{00000000-2892-448B-B451-47AC73FB85EB}"/>
            </c:ext>
          </c:extLst>
        </c:ser>
        <c:dLbls>
          <c:showLegendKey val="0"/>
          <c:showVal val="0"/>
          <c:showCatName val="0"/>
          <c:showSerName val="0"/>
          <c:showPercent val="0"/>
          <c:showBubbleSize val="0"/>
        </c:dLbls>
        <c:gapWidth val="219"/>
        <c:overlap val="-27"/>
        <c:axId val="1691401295"/>
        <c:axId val="1691402255"/>
      </c:barChart>
      <c:catAx>
        <c:axId val="169140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402255"/>
        <c:crosses val="autoZero"/>
        <c:auto val="1"/>
        <c:lblAlgn val="ctr"/>
        <c:lblOffset val="100"/>
        <c:noMultiLvlLbl val="0"/>
      </c:catAx>
      <c:valAx>
        <c:axId val="169140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401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India Status11.xlsx]ANALYSIS!PivotTable6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ANALYSIS!$B$162</c:f>
              <c:strCache>
                <c:ptCount val="1"/>
                <c:pt idx="0">
                  <c:v>Total</c:v>
                </c:pt>
              </c:strCache>
            </c:strRef>
          </c:tx>
          <c:spPr>
            <a:solidFill>
              <a:schemeClr val="accent1"/>
            </a:solidFill>
            <a:ln>
              <a:noFill/>
            </a:ln>
            <a:effectLst/>
          </c:spPr>
          <c:invertIfNegative val="0"/>
          <c:cat>
            <c:strRef>
              <c:f>ANALYSIS!$A$163:$A$199</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ANALYSIS!$B$163:$B$199</c:f>
              <c:numCache>
                <c:formatCode>General</c:formatCode>
                <c:ptCount val="36"/>
                <c:pt idx="0">
                  <c:v>10766</c:v>
                </c:pt>
                <c:pt idx="1">
                  <c:v>2340676</c:v>
                </c:pt>
                <c:pt idx="2">
                  <c:v>67049</c:v>
                </c:pt>
                <c:pt idx="3">
                  <c:v>746159</c:v>
                </c:pt>
                <c:pt idx="4">
                  <c:v>855267</c:v>
                </c:pt>
                <c:pt idx="5">
                  <c:v>100693</c:v>
                </c:pt>
                <c:pt idx="6">
                  <c:v>1187695</c:v>
                </c:pt>
                <c:pt idx="7">
                  <c:v>11592</c:v>
                </c:pt>
                <c:pt idx="8">
                  <c:v>2040910</c:v>
                </c:pt>
                <c:pt idx="9">
                  <c:v>263346</c:v>
                </c:pt>
                <c:pt idx="10">
                  <c:v>1291383</c:v>
                </c:pt>
                <c:pt idx="11">
                  <c:v>1078903</c:v>
                </c:pt>
                <c:pt idx="12">
                  <c:v>322905</c:v>
                </c:pt>
                <c:pt idx="13">
                  <c:v>482023</c:v>
                </c:pt>
                <c:pt idx="14">
                  <c:v>443826</c:v>
                </c:pt>
                <c:pt idx="15">
                  <c:v>4088769</c:v>
                </c:pt>
                <c:pt idx="16">
                  <c:v>6907241</c:v>
                </c:pt>
                <c:pt idx="17">
                  <c:v>29602</c:v>
                </c:pt>
                <c:pt idx="18">
                  <c:v>11415</c:v>
                </c:pt>
                <c:pt idx="19">
                  <c:v>1056351</c:v>
                </c:pt>
                <c:pt idx="20">
                  <c:v>8171048</c:v>
                </c:pt>
                <c:pt idx="21">
                  <c:v>140034</c:v>
                </c:pt>
                <c:pt idx="22">
                  <c:v>96983</c:v>
                </c:pt>
                <c:pt idx="23">
                  <c:v>239560</c:v>
                </c:pt>
                <c:pt idx="24">
                  <c:v>36033</c:v>
                </c:pt>
                <c:pt idx="25">
                  <c:v>1348409</c:v>
                </c:pt>
                <c:pt idx="26">
                  <c:v>177547</c:v>
                </c:pt>
                <c:pt idx="27">
                  <c:v>793644</c:v>
                </c:pt>
                <c:pt idx="28">
                  <c:v>1326465</c:v>
                </c:pt>
                <c:pt idx="29">
                  <c:v>44927</c:v>
                </c:pt>
                <c:pt idx="30">
                  <c:v>3610655</c:v>
                </c:pt>
                <c:pt idx="31">
                  <c:v>844432</c:v>
                </c:pt>
                <c:pt idx="32">
                  <c:v>108493</c:v>
                </c:pt>
                <c:pt idx="33">
                  <c:v>2145431</c:v>
                </c:pt>
                <c:pt idx="34">
                  <c:v>452571</c:v>
                </c:pt>
                <c:pt idx="35">
                  <c:v>2126282</c:v>
                </c:pt>
              </c:numCache>
            </c:numRef>
          </c:val>
          <c:extLst>
            <c:ext xmlns:c16="http://schemas.microsoft.com/office/drawing/2014/chart" uri="{C3380CC4-5D6E-409C-BE32-E72D297353CC}">
              <c16:uniqueId val="{00000000-7DFF-4380-BAE6-8DE826D44531}"/>
            </c:ext>
          </c:extLst>
        </c:ser>
        <c:dLbls>
          <c:showLegendKey val="0"/>
          <c:showVal val="0"/>
          <c:showCatName val="0"/>
          <c:showSerName val="0"/>
          <c:showPercent val="0"/>
          <c:showBubbleSize val="0"/>
        </c:dLbls>
        <c:gapWidth val="150"/>
        <c:overlap val="100"/>
        <c:axId val="1950490191"/>
        <c:axId val="1950483471"/>
      </c:barChart>
      <c:catAx>
        <c:axId val="1950490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483471"/>
        <c:crosses val="autoZero"/>
        <c:auto val="1"/>
        <c:lblAlgn val="ctr"/>
        <c:lblOffset val="100"/>
        <c:noMultiLvlLbl val="0"/>
      </c:catAx>
      <c:valAx>
        <c:axId val="1950483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49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chemeClr val="accent1"/>
            </a:solidFill>
            <a:ln>
              <a:noFill/>
            </a:ln>
            <a:effectLst/>
            <a:sp3d/>
          </c:spPr>
          <c:invertIfNegative val="0"/>
          <c:cat>
            <c:strLit>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Lit>
          </c:cat>
          <c:val>
            <c:numLit>
              <c:formatCode>General</c:formatCode>
              <c:ptCount val="36"/>
              <c:pt idx="0">
                <c:v>0</c:v>
              </c:pt>
              <c:pt idx="1">
                <c:v>0</c:v>
              </c:pt>
              <c:pt idx="2">
                <c:v>0</c:v>
              </c:pt>
              <c:pt idx="3">
                <c:v>5</c:v>
              </c:pt>
              <c:pt idx="4">
                <c:v>1</c:v>
              </c:pt>
              <c:pt idx="5">
                <c:v>0</c:v>
              </c:pt>
              <c:pt idx="6">
                <c:v>0</c:v>
              </c:pt>
              <c:pt idx="7">
                <c:v>0</c:v>
              </c:pt>
              <c:pt idx="8">
                <c:v>14</c:v>
              </c:pt>
              <c:pt idx="9">
                <c:v>3</c:v>
              </c:pt>
              <c:pt idx="10">
                <c:v>5</c:v>
              </c:pt>
              <c:pt idx="11">
                <c:v>27</c:v>
              </c:pt>
              <c:pt idx="12">
                <c:v>4</c:v>
              </c:pt>
              <c:pt idx="13">
                <c:v>0</c:v>
              </c:pt>
              <c:pt idx="14">
                <c:v>1</c:v>
              </c:pt>
              <c:pt idx="15">
                <c:v>12</c:v>
              </c:pt>
              <c:pt idx="16">
                <c:v>18</c:v>
              </c:pt>
              <c:pt idx="17">
                <c:v>0</c:v>
              </c:pt>
              <c:pt idx="18">
                <c:v>0</c:v>
              </c:pt>
              <c:pt idx="19">
                <c:v>0</c:v>
              </c:pt>
              <c:pt idx="20">
                <c:v>214</c:v>
              </c:pt>
              <c:pt idx="21">
                <c:v>0</c:v>
              </c:pt>
              <c:pt idx="22">
                <c:v>3</c:v>
              </c:pt>
              <c:pt idx="23">
                <c:v>1</c:v>
              </c:pt>
              <c:pt idx="24">
                <c:v>0</c:v>
              </c:pt>
              <c:pt idx="25">
                <c:v>59</c:v>
              </c:pt>
              <c:pt idx="26">
                <c:v>0</c:v>
              </c:pt>
              <c:pt idx="27">
                <c:v>1233</c:v>
              </c:pt>
              <c:pt idx="28">
                <c:v>2</c:v>
              </c:pt>
              <c:pt idx="29">
                <c:v>4</c:v>
              </c:pt>
              <c:pt idx="30">
                <c:v>5</c:v>
              </c:pt>
              <c:pt idx="31">
                <c:v>8</c:v>
              </c:pt>
              <c:pt idx="32">
                <c:v>1</c:v>
              </c:pt>
              <c:pt idx="33">
                <c:v>57</c:v>
              </c:pt>
              <c:pt idx="34">
                <c:v>0</c:v>
              </c:pt>
              <c:pt idx="35">
                <c:v>135</c:v>
              </c:pt>
            </c:numLit>
          </c:val>
          <c:extLst>
            <c:ext xmlns:c16="http://schemas.microsoft.com/office/drawing/2014/chart" uri="{C3380CC4-5D6E-409C-BE32-E72D297353CC}">
              <c16:uniqueId val="{00000000-79D0-4AFB-9F6F-BD2F301310F4}"/>
            </c:ext>
          </c:extLst>
        </c:ser>
        <c:dLbls>
          <c:showLegendKey val="0"/>
          <c:showVal val="0"/>
          <c:showCatName val="0"/>
          <c:showSerName val="0"/>
          <c:showPercent val="0"/>
          <c:showBubbleSize val="0"/>
        </c:dLbls>
        <c:gapWidth val="150"/>
        <c:shape val="box"/>
        <c:axId val="1799806383"/>
        <c:axId val="1799811663"/>
        <c:axId val="0"/>
      </c:bar3DChart>
      <c:catAx>
        <c:axId val="1799806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811663"/>
        <c:crosses val="autoZero"/>
        <c:auto val="1"/>
        <c:lblAlgn val="ctr"/>
        <c:lblOffset val="100"/>
        <c:noMultiLvlLbl val="0"/>
      </c:catAx>
      <c:valAx>
        <c:axId val="17998116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80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Lit>
          </c:cat>
          <c:val>
            <c:numLit>
              <c:formatCode>General</c:formatCode>
              <c:ptCount val="36"/>
              <c:pt idx="0">
                <c:v>129</c:v>
              </c:pt>
              <c:pt idx="1">
                <c:v>14733</c:v>
              </c:pt>
              <c:pt idx="2">
                <c:v>296</c:v>
              </c:pt>
              <c:pt idx="3">
                <c:v>8035</c:v>
              </c:pt>
              <c:pt idx="4">
                <c:v>12314</c:v>
              </c:pt>
              <c:pt idx="5">
                <c:v>1185</c:v>
              </c:pt>
              <c:pt idx="6">
                <c:v>14190</c:v>
              </c:pt>
              <c:pt idx="7">
                <c:v>4</c:v>
              </c:pt>
              <c:pt idx="8">
                <c:v>26666</c:v>
              </c:pt>
              <c:pt idx="9">
                <c:v>4014</c:v>
              </c:pt>
              <c:pt idx="10">
                <c:v>11079</c:v>
              </c:pt>
              <c:pt idx="11">
                <c:v>10755</c:v>
              </c:pt>
              <c:pt idx="12">
                <c:v>4241</c:v>
              </c:pt>
              <c:pt idx="13">
                <c:v>4792</c:v>
              </c:pt>
              <c:pt idx="14">
                <c:v>5334</c:v>
              </c:pt>
              <c:pt idx="15">
                <c:v>40358</c:v>
              </c:pt>
              <c:pt idx="16">
                <c:v>72042</c:v>
              </c:pt>
              <c:pt idx="17">
                <c:v>231</c:v>
              </c:pt>
              <c:pt idx="18">
                <c:v>52</c:v>
              </c:pt>
              <c:pt idx="19">
                <c:v>10786</c:v>
              </c:pt>
              <c:pt idx="20">
                <c:v>148558</c:v>
              </c:pt>
              <c:pt idx="21">
                <c:v>2149</c:v>
              </c:pt>
              <c:pt idx="22">
                <c:v>1628</c:v>
              </c:pt>
              <c:pt idx="23">
                <c:v>734</c:v>
              </c:pt>
              <c:pt idx="24">
                <c:v>782</c:v>
              </c:pt>
              <c:pt idx="25">
                <c:v>9215</c:v>
              </c:pt>
              <c:pt idx="26">
                <c:v>1981</c:v>
              </c:pt>
              <c:pt idx="27">
                <c:v>19338</c:v>
              </c:pt>
              <c:pt idx="28">
                <c:v>9736</c:v>
              </c:pt>
              <c:pt idx="29">
                <c:v>501</c:v>
              </c:pt>
              <c:pt idx="30">
                <c:v>38081</c:v>
              </c:pt>
              <c:pt idx="31">
                <c:v>4111</c:v>
              </c:pt>
              <c:pt idx="32">
                <c:v>942</c:v>
              </c:pt>
              <c:pt idx="33">
                <c:v>23712</c:v>
              </c:pt>
              <c:pt idx="34">
                <c:v>7768</c:v>
              </c:pt>
              <c:pt idx="35">
                <c:v>21555</c:v>
              </c:pt>
            </c:numLit>
          </c:val>
          <c:extLst>
            <c:ext xmlns:c16="http://schemas.microsoft.com/office/drawing/2014/chart" uri="{C3380CC4-5D6E-409C-BE32-E72D297353CC}">
              <c16:uniqueId val="{00000000-BAB6-4036-B5F7-8B37B4B5D079}"/>
            </c:ext>
          </c:extLst>
        </c:ser>
        <c:dLbls>
          <c:showLegendKey val="0"/>
          <c:showVal val="0"/>
          <c:showCatName val="0"/>
          <c:showSerName val="0"/>
          <c:showPercent val="0"/>
          <c:showBubbleSize val="0"/>
        </c:dLbls>
        <c:gapWidth val="219"/>
        <c:overlap val="-27"/>
        <c:axId val="1799814063"/>
        <c:axId val="1799815023"/>
      </c:barChart>
      <c:catAx>
        <c:axId val="179981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815023"/>
        <c:crosses val="autoZero"/>
        <c:auto val="1"/>
        <c:lblAlgn val="ctr"/>
        <c:lblOffset val="100"/>
        <c:noMultiLvlLbl val="0"/>
      </c:catAx>
      <c:valAx>
        <c:axId val="179981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81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0"/>
              <c:pt idx="0">
                <c:v>Andhra Pradesh</c:v>
              </c:pt>
              <c:pt idx="1">
                <c:v>Chhattisgarh</c:v>
              </c:pt>
              <c:pt idx="2">
                <c:v>Delhi</c:v>
              </c:pt>
              <c:pt idx="3">
                <c:v>Karnataka</c:v>
              </c:pt>
              <c:pt idx="4">
                <c:v>Kerala</c:v>
              </c:pt>
              <c:pt idx="5">
                <c:v>Maharashtra</c:v>
              </c:pt>
              <c:pt idx="6">
                <c:v>Punjab</c:v>
              </c:pt>
              <c:pt idx="7">
                <c:v>Tamil Nadu</c:v>
              </c:pt>
              <c:pt idx="8">
                <c:v>Uttar Pradesh</c:v>
              </c:pt>
              <c:pt idx="9">
                <c:v>West Bengal</c:v>
              </c:pt>
            </c:strLit>
          </c:cat>
          <c:val>
            <c:numLit>
              <c:formatCode>General</c:formatCode>
              <c:ptCount val="10"/>
              <c:pt idx="0">
                <c:v>14733</c:v>
              </c:pt>
              <c:pt idx="1">
                <c:v>14190</c:v>
              </c:pt>
              <c:pt idx="2">
                <c:v>26666</c:v>
              </c:pt>
              <c:pt idx="3">
                <c:v>40358</c:v>
              </c:pt>
              <c:pt idx="4">
                <c:v>72042</c:v>
              </c:pt>
              <c:pt idx="5">
                <c:v>148558</c:v>
              </c:pt>
              <c:pt idx="6">
                <c:v>19338</c:v>
              </c:pt>
              <c:pt idx="7">
                <c:v>38081</c:v>
              </c:pt>
              <c:pt idx="8">
                <c:v>23712</c:v>
              </c:pt>
              <c:pt idx="9">
                <c:v>21555</c:v>
              </c:pt>
            </c:numLit>
          </c:val>
          <c:extLst>
            <c:ext xmlns:c16="http://schemas.microsoft.com/office/drawing/2014/chart" uri="{C3380CC4-5D6E-409C-BE32-E72D297353CC}">
              <c16:uniqueId val="{00000000-A308-450C-B545-7CF3848BBC7F}"/>
            </c:ext>
          </c:extLst>
        </c:ser>
        <c:dLbls>
          <c:showLegendKey val="0"/>
          <c:showVal val="0"/>
          <c:showCatName val="0"/>
          <c:showSerName val="0"/>
          <c:showPercent val="0"/>
          <c:showBubbleSize val="0"/>
        </c:dLbls>
        <c:gapWidth val="219"/>
        <c:overlap val="-27"/>
        <c:axId val="1950480111"/>
        <c:axId val="1950493551"/>
      </c:barChart>
      <c:catAx>
        <c:axId val="195048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493551"/>
        <c:crosses val="autoZero"/>
        <c:auto val="1"/>
        <c:lblAlgn val="ctr"/>
        <c:lblOffset val="100"/>
        <c:noMultiLvlLbl val="0"/>
      </c:catAx>
      <c:valAx>
        <c:axId val="1950493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48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v>Sum of Discharged</c:v>
          </c:tx>
          <c:spPr>
            <a:solidFill>
              <a:schemeClr val="accent1"/>
            </a:solidFill>
            <a:ln>
              <a:noFill/>
            </a:ln>
            <a:effectLst/>
          </c:spPr>
          <c:invertIfNegative val="0"/>
          <c:cat>
            <c:strLit>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Lit>
          </c:cat>
          <c:val>
            <c:numLit>
              <c:formatCode>General</c:formatCode>
              <c:ptCount val="36"/>
              <c:pt idx="0">
                <c:v>10637</c:v>
              </c:pt>
              <c:pt idx="1">
                <c:v>2325943</c:v>
              </c:pt>
              <c:pt idx="2">
                <c:v>66753</c:v>
              </c:pt>
              <c:pt idx="3">
                <c:v>738119</c:v>
              </c:pt>
              <c:pt idx="4">
                <c:v>842952</c:v>
              </c:pt>
              <c:pt idx="5">
                <c:v>99508</c:v>
              </c:pt>
              <c:pt idx="6">
                <c:v>1173505</c:v>
              </c:pt>
              <c:pt idx="7">
                <c:v>11588</c:v>
              </c:pt>
              <c:pt idx="8">
                <c:v>2014230</c:v>
              </c:pt>
              <c:pt idx="9">
                <c:v>259329</c:v>
              </c:pt>
              <c:pt idx="10">
                <c:v>1280299</c:v>
              </c:pt>
              <c:pt idx="11">
                <c:v>1068121</c:v>
              </c:pt>
              <c:pt idx="12">
                <c:v>318660</c:v>
              </c:pt>
              <c:pt idx="13">
                <c:v>477231</c:v>
              </c:pt>
              <c:pt idx="14">
                <c:v>438491</c:v>
              </c:pt>
              <c:pt idx="15">
                <c:v>4048399</c:v>
              </c:pt>
              <c:pt idx="16">
                <c:v>6835181</c:v>
              </c:pt>
              <c:pt idx="17">
                <c:v>29371</c:v>
              </c:pt>
              <c:pt idx="18">
                <c:v>11363</c:v>
              </c:pt>
              <c:pt idx="19">
                <c:v>1045565</c:v>
              </c:pt>
              <c:pt idx="20">
                <c:v>8022276</c:v>
              </c:pt>
              <c:pt idx="21">
                <c:v>137885</c:v>
              </c:pt>
              <c:pt idx="22">
                <c:v>95352</c:v>
              </c:pt>
              <c:pt idx="23">
                <c:v>238825</c:v>
              </c:pt>
              <c:pt idx="24">
                <c:v>35251</c:v>
              </c:pt>
              <c:pt idx="25">
                <c:v>1339135</c:v>
              </c:pt>
              <c:pt idx="26">
                <c:v>175566</c:v>
              </c:pt>
              <c:pt idx="27">
                <c:v>773073</c:v>
              </c:pt>
              <c:pt idx="28">
                <c:v>1316727</c:v>
              </c:pt>
              <c:pt idx="29">
                <c:v>44422</c:v>
              </c:pt>
              <c:pt idx="30">
                <c:v>3572569</c:v>
              </c:pt>
              <c:pt idx="31">
                <c:v>840313</c:v>
              </c:pt>
              <c:pt idx="32">
                <c:v>107550</c:v>
              </c:pt>
              <c:pt idx="33">
                <c:v>2121662</c:v>
              </c:pt>
              <c:pt idx="34">
                <c:v>444803</c:v>
              </c:pt>
              <c:pt idx="35">
                <c:v>2104592</c:v>
              </c:pt>
            </c:numLit>
          </c:val>
          <c:extLst>
            <c:ext xmlns:c16="http://schemas.microsoft.com/office/drawing/2014/chart" uri="{C3380CC4-5D6E-409C-BE32-E72D297353CC}">
              <c16:uniqueId val="{00000000-B48F-4460-93D7-9C02C89076AB}"/>
            </c:ext>
          </c:extLst>
        </c:ser>
        <c:ser>
          <c:idx val="1"/>
          <c:order val="1"/>
          <c:tx>
            <c:v>Sum of Deaths</c:v>
          </c:tx>
          <c:spPr>
            <a:solidFill>
              <a:schemeClr val="accent2"/>
            </a:solidFill>
            <a:ln>
              <a:noFill/>
            </a:ln>
            <a:effectLst/>
          </c:spPr>
          <c:invertIfNegative val="0"/>
          <c:cat>
            <c:strLit>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Lit>
          </c:cat>
          <c:val>
            <c:numLit>
              <c:formatCode>General</c:formatCode>
              <c:ptCount val="36"/>
              <c:pt idx="0">
                <c:v>129</c:v>
              </c:pt>
              <c:pt idx="1">
                <c:v>14733</c:v>
              </c:pt>
              <c:pt idx="2">
                <c:v>296</c:v>
              </c:pt>
              <c:pt idx="3">
                <c:v>8035</c:v>
              </c:pt>
              <c:pt idx="4">
                <c:v>12314</c:v>
              </c:pt>
              <c:pt idx="5">
                <c:v>1185</c:v>
              </c:pt>
              <c:pt idx="6">
                <c:v>14190</c:v>
              </c:pt>
              <c:pt idx="7">
                <c:v>4</c:v>
              </c:pt>
              <c:pt idx="8">
                <c:v>26666</c:v>
              </c:pt>
              <c:pt idx="9">
                <c:v>4014</c:v>
              </c:pt>
              <c:pt idx="10">
                <c:v>11079</c:v>
              </c:pt>
              <c:pt idx="11">
                <c:v>10755</c:v>
              </c:pt>
              <c:pt idx="12">
                <c:v>4241</c:v>
              </c:pt>
              <c:pt idx="13">
                <c:v>4792</c:v>
              </c:pt>
              <c:pt idx="14">
                <c:v>5334</c:v>
              </c:pt>
              <c:pt idx="15">
                <c:v>40358</c:v>
              </c:pt>
              <c:pt idx="16">
                <c:v>72042</c:v>
              </c:pt>
              <c:pt idx="17">
                <c:v>231</c:v>
              </c:pt>
              <c:pt idx="18">
                <c:v>52</c:v>
              </c:pt>
              <c:pt idx="19">
                <c:v>10786</c:v>
              </c:pt>
              <c:pt idx="20">
                <c:v>148558</c:v>
              </c:pt>
              <c:pt idx="21">
                <c:v>2149</c:v>
              </c:pt>
              <c:pt idx="22">
                <c:v>1628</c:v>
              </c:pt>
              <c:pt idx="23">
                <c:v>734</c:v>
              </c:pt>
              <c:pt idx="24">
                <c:v>782</c:v>
              </c:pt>
              <c:pt idx="25">
                <c:v>9215</c:v>
              </c:pt>
              <c:pt idx="26">
                <c:v>1981</c:v>
              </c:pt>
              <c:pt idx="27">
                <c:v>19338</c:v>
              </c:pt>
              <c:pt idx="28">
                <c:v>9736</c:v>
              </c:pt>
              <c:pt idx="29">
                <c:v>501</c:v>
              </c:pt>
              <c:pt idx="30">
                <c:v>38081</c:v>
              </c:pt>
              <c:pt idx="31">
                <c:v>4111</c:v>
              </c:pt>
              <c:pt idx="32">
                <c:v>942</c:v>
              </c:pt>
              <c:pt idx="33">
                <c:v>23712</c:v>
              </c:pt>
              <c:pt idx="34">
                <c:v>7768</c:v>
              </c:pt>
              <c:pt idx="35">
                <c:v>21555</c:v>
              </c:pt>
            </c:numLit>
          </c:val>
          <c:extLst>
            <c:ext xmlns:c16="http://schemas.microsoft.com/office/drawing/2014/chart" uri="{C3380CC4-5D6E-409C-BE32-E72D297353CC}">
              <c16:uniqueId val="{00000001-B48F-4460-93D7-9C02C89076AB}"/>
            </c:ext>
          </c:extLst>
        </c:ser>
        <c:ser>
          <c:idx val="2"/>
          <c:order val="2"/>
          <c:tx>
            <c:v>Sum of Active</c:v>
          </c:tx>
          <c:spPr>
            <a:solidFill>
              <a:schemeClr val="accent3"/>
            </a:solidFill>
            <a:ln>
              <a:noFill/>
            </a:ln>
            <a:effectLst/>
          </c:spPr>
          <c:invertIfNegative val="0"/>
          <c:cat>
            <c:strLit>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Lit>
          </c:cat>
          <c:val>
            <c:numLit>
              <c:formatCode>General</c:formatCode>
              <c:ptCount val="36"/>
              <c:pt idx="0">
                <c:v>0</c:v>
              </c:pt>
              <c:pt idx="1">
                <c:v>0</c:v>
              </c:pt>
              <c:pt idx="2">
                <c:v>0</c:v>
              </c:pt>
              <c:pt idx="3">
                <c:v>5</c:v>
              </c:pt>
              <c:pt idx="4">
                <c:v>1</c:v>
              </c:pt>
              <c:pt idx="5">
                <c:v>0</c:v>
              </c:pt>
              <c:pt idx="6">
                <c:v>0</c:v>
              </c:pt>
              <c:pt idx="7">
                <c:v>0</c:v>
              </c:pt>
              <c:pt idx="8">
                <c:v>14</c:v>
              </c:pt>
              <c:pt idx="9">
                <c:v>3</c:v>
              </c:pt>
              <c:pt idx="10">
                <c:v>5</c:v>
              </c:pt>
              <c:pt idx="11">
                <c:v>27</c:v>
              </c:pt>
              <c:pt idx="12">
                <c:v>4</c:v>
              </c:pt>
              <c:pt idx="13">
                <c:v>0</c:v>
              </c:pt>
              <c:pt idx="14">
                <c:v>1</c:v>
              </c:pt>
              <c:pt idx="15">
                <c:v>12</c:v>
              </c:pt>
              <c:pt idx="16">
                <c:v>18</c:v>
              </c:pt>
              <c:pt idx="17">
                <c:v>0</c:v>
              </c:pt>
              <c:pt idx="18">
                <c:v>0</c:v>
              </c:pt>
              <c:pt idx="19">
                <c:v>0</c:v>
              </c:pt>
              <c:pt idx="20">
                <c:v>214</c:v>
              </c:pt>
              <c:pt idx="21">
                <c:v>0</c:v>
              </c:pt>
              <c:pt idx="22">
                <c:v>3</c:v>
              </c:pt>
              <c:pt idx="23">
                <c:v>1</c:v>
              </c:pt>
              <c:pt idx="24">
                <c:v>0</c:v>
              </c:pt>
              <c:pt idx="25">
                <c:v>59</c:v>
              </c:pt>
              <c:pt idx="26">
                <c:v>0</c:v>
              </c:pt>
              <c:pt idx="27">
                <c:v>1233</c:v>
              </c:pt>
              <c:pt idx="28">
                <c:v>2</c:v>
              </c:pt>
              <c:pt idx="29">
                <c:v>4</c:v>
              </c:pt>
              <c:pt idx="30">
                <c:v>5</c:v>
              </c:pt>
              <c:pt idx="31">
                <c:v>8</c:v>
              </c:pt>
              <c:pt idx="32">
                <c:v>1</c:v>
              </c:pt>
              <c:pt idx="33">
                <c:v>57</c:v>
              </c:pt>
              <c:pt idx="34">
                <c:v>0</c:v>
              </c:pt>
              <c:pt idx="35">
                <c:v>135</c:v>
              </c:pt>
            </c:numLit>
          </c:val>
          <c:extLst>
            <c:ext xmlns:c16="http://schemas.microsoft.com/office/drawing/2014/chart" uri="{C3380CC4-5D6E-409C-BE32-E72D297353CC}">
              <c16:uniqueId val="{00000002-B48F-4460-93D7-9C02C89076AB}"/>
            </c:ext>
          </c:extLst>
        </c:ser>
        <c:dLbls>
          <c:showLegendKey val="0"/>
          <c:showVal val="0"/>
          <c:showCatName val="0"/>
          <c:showSerName val="0"/>
          <c:showPercent val="0"/>
          <c:showBubbleSize val="0"/>
        </c:dLbls>
        <c:gapWidth val="150"/>
        <c:overlap val="100"/>
        <c:axId val="1950510831"/>
        <c:axId val="1950525711"/>
      </c:barChart>
      <c:catAx>
        <c:axId val="195051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525711"/>
        <c:crosses val="autoZero"/>
        <c:auto val="1"/>
        <c:lblAlgn val="ctr"/>
        <c:lblOffset val="100"/>
        <c:noMultiLvlLbl val="0"/>
      </c:catAx>
      <c:valAx>
        <c:axId val="1950525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510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India Status11.xlsx]ANALYSIS!PivotTable5</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ANALYSIS!$BI$116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C93-4F92-A6AA-0819AB8E959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C93-4F92-A6AA-0819AB8E959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C93-4F92-A6AA-0819AB8E959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C93-4F92-A6AA-0819AB8E959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C93-4F92-A6AA-0819AB8E959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9C93-4F92-A6AA-0819AB8E9596}"/>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9C93-4F92-A6AA-0819AB8E9596}"/>
              </c:ext>
            </c:extLst>
          </c:dPt>
          <c:cat>
            <c:strRef>
              <c:f>ANALYSIS!$BH$117:$BH$124</c:f>
              <c:strCache>
                <c:ptCount val="7"/>
                <c:pt idx="0">
                  <c:v>Central</c:v>
                </c:pt>
                <c:pt idx="1">
                  <c:v>East</c:v>
                </c:pt>
                <c:pt idx="2">
                  <c:v>Islands</c:v>
                </c:pt>
                <c:pt idx="3">
                  <c:v>North</c:v>
                </c:pt>
                <c:pt idx="4">
                  <c:v>North East</c:v>
                </c:pt>
                <c:pt idx="5">
                  <c:v>South</c:v>
                </c:pt>
                <c:pt idx="6">
                  <c:v>West</c:v>
                </c:pt>
              </c:strCache>
            </c:strRef>
          </c:cat>
          <c:val>
            <c:numRef>
              <c:f>ANALYSIS!$BI$117:$BI$124</c:f>
              <c:numCache>
                <c:formatCode>General</c:formatCode>
                <c:ptCount val="7"/>
                <c:pt idx="0">
                  <c:v>2.21</c:v>
                </c:pt>
                <c:pt idx="1">
                  <c:v>4.33</c:v>
                </c:pt>
                <c:pt idx="2">
                  <c:v>1.66</c:v>
                </c:pt>
                <c:pt idx="3">
                  <c:v>12.570000000000002</c:v>
                </c:pt>
                <c:pt idx="4">
                  <c:v>9.1999999999999975</c:v>
                </c:pt>
                <c:pt idx="5">
                  <c:v>5.32</c:v>
                </c:pt>
                <c:pt idx="6">
                  <c:v>4.2300000000000004</c:v>
                </c:pt>
              </c:numCache>
            </c:numRef>
          </c:val>
          <c:extLst>
            <c:ext xmlns:c16="http://schemas.microsoft.com/office/drawing/2014/chart" uri="{C3380CC4-5D6E-409C-BE32-E72D297353CC}">
              <c16:uniqueId val="{00000000-D705-4C44-A204-92CC65DFEC9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India Status11.xlsx]ANALYSIS!PivotTable8</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ANALYSIS!$BO$186</c:f>
              <c:strCache>
                <c:ptCount val="1"/>
                <c:pt idx="0">
                  <c:v>Sum of Total Cases</c:v>
                </c:pt>
              </c:strCache>
            </c:strRef>
          </c:tx>
          <c:spPr>
            <a:solidFill>
              <a:schemeClr val="accent1"/>
            </a:solidFill>
            <a:ln>
              <a:noFill/>
            </a:ln>
            <a:effectLst/>
          </c:spPr>
          <c:invertIfNegative val="0"/>
          <c:cat>
            <c:strRef>
              <c:f>ANALYSIS!$BN$187:$BN$194</c:f>
              <c:strCache>
                <c:ptCount val="7"/>
                <c:pt idx="0">
                  <c:v>Central</c:v>
                </c:pt>
                <c:pt idx="1">
                  <c:v>East</c:v>
                </c:pt>
                <c:pt idx="2">
                  <c:v>Islands</c:v>
                </c:pt>
                <c:pt idx="3">
                  <c:v>North</c:v>
                </c:pt>
                <c:pt idx="4">
                  <c:v>North East</c:v>
                </c:pt>
                <c:pt idx="5">
                  <c:v>South</c:v>
                </c:pt>
                <c:pt idx="6">
                  <c:v>West</c:v>
                </c:pt>
              </c:strCache>
            </c:strRef>
          </c:cat>
          <c:val>
            <c:numRef>
              <c:f>ANALYSIS!$BO$187:$BO$194</c:f>
              <c:numCache>
                <c:formatCode>General</c:formatCode>
                <c:ptCount val="7"/>
                <c:pt idx="0">
                  <c:v>2244046</c:v>
                </c:pt>
                <c:pt idx="1">
                  <c:v>4773784</c:v>
                </c:pt>
                <c:pt idx="2">
                  <c:v>22181</c:v>
                </c:pt>
                <c:pt idx="3">
                  <c:v>8773147</c:v>
                </c:pt>
                <c:pt idx="4">
                  <c:v>1479238</c:v>
                </c:pt>
                <c:pt idx="5">
                  <c:v>17969320</c:v>
                </c:pt>
                <c:pt idx="6">
                  <c:v>9737369</c:v>
                </c:pt>
              </c:numCache>
            </c:numRef>
          </c:val>
          <c:extLst>
            <c:ext xmlns:c16="http://schemas.microsoft.com/office/drawing/2014/chart" uri="{C3380CC4-5D6E-409C-BE32-E72D297353CC}">
              <c16:uniqueId val="{00000000-E10A-4AEC-AAC0-A739B9E188FC}"/>
            </c:ext>
          </c:extLst>
        </c:ser>
        <c:dLbls>
          <c:showLegendKey val="0"/>
          <c:showVal val="0"/>
          <c:showCatName val="0"/>
          <c:showSerName val="0"/>
          <c:showPercent val="0"/>
          <c:showBubbleSize val="0"/>
        </c:dLbls>
        <c:gapWidth val="219"/>
        <c:overlap val="-27"/>
        <c:axId val="1231428464"/>
        <c:axId val="1231426064"/>
      </c:barChart>
      <c:lineChart>
        <c:grouping val="standard"/>
        <c:varyColors val="0"/>
        <c:ser>
          <c:idx val="1"/>
          <c:order val="1"/>
          <c:tx>
            <c:strRef>
              <c:f>ANALYSIS!$BP$186</c:f>
              <c:strCache>
                <c:ptCount val="1"/>
                <c:pt idx="0">
                  <c:v>Sum of Population</c:v>
                </c:pt>
              </c:strCache>
            </c:strRef>
          </c:tx>
          <c:spPr>
            <a:ln w="28575" cap="rnd">
              <a:solidFill>
                <a:schemeClr val="accent2"/>
              </a:solidFill>
              <a:round/>
            </a:ln>
            <a:effectLst/>
          </c:spPr>
          <c:marker>
            <c:symbol val="none"/>
          </c:marker>
          <c:cat>
            <c:strRef>
              <c:f>ANALYSIS!$BN$187:$BN$194</c:f>
              <c:strCache>
                <c:ptCount val="7"/>
                <c:pt idx="0">
                  <c:v>Central</c:v>
                </c:pt>
                <c:pt idx="1">
                  <c:v>East</c:v>
                </c:pt>
                <c:pt idx="2">
                  <c:v>Islands</c:v>
                </c:pt>
                <c:pt idx="3">
                  <c:v>North</c:v>
                </c:pt>
                <c:pt idx="4">
                  <c:v>North East</c:v>
                </c:pt>
                <c:pt idx="5">
                  <c:v>South</c:v>
                </c:pt>
                <c:pt idx="6">
                  <c:v>West</c:v>
                </c:pt>
              </c:strCache>
            </c:strRef>
          </c:cat>
          <c:val>
            <c:numRef>
              <c:f>ANALYSIS!$BP$187:$BP$194</c:f>
              <c:numCache>
                <c:formatCode>General</c:formatCode>
                <c:ptCount val="7"/>
                <c:pt idx="0">
                  <c:v>43900064</c:v>
                </c:pt>
                <c:pt idx="1">
                  <c:v>216505265</c:v>
                </c:pt>
                <c:pt idx="2">
                  <c:v>112596717</c:v>
                </c:pt>
                <c:pt idx="3">
                  <c:v>168847266</c:v>
                </c:pt>
                <c:pt idx="4">
                  <c:v>252360356</c:v>
                </c:pt>
                <c:pt idx="5">
                  <c:v>329586377</c:v>
                </c:pt>
                <c:pt idx="6">
                  <c:v>306073835</c:v>
                </c:pt>
              </c:numCache>
            </c:numRef>
          </c:val>
          <c:smooth val="0"/>
          <c:extLst>
            <c:ext xmlns:c16="http://schemas.microsoft.com/office/drawing/2014/chart" uri="{C3380CC4-5D6E-409C-BE32-E72D297353CC}">
              <c16:uniqueId val="{00000001-E10A-4AEC-AAC0-A739B9E188FC}"/>
            </c:ext>
          </c:extLst>
        </c:ser>
        <c:dLbls>
          <c:showLegendKey val="0"/>
          <c:showVal val="0"/>
          <c:showCatName val="0"/>
          <c:showSerName val="0"/>
          <c:showPercent val="0"/>
          <c:showBubbleSize val="0"/>
        </c:dLbls>
        <c:marker val="1"/>
        <c:smooth val="0"/>
        <c:axId val="1231414064"/>
        <c:axId val="1231429904"/>
      </c:lineChart>
      <c:catAx>
        <c:axId val="123142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26064"/>
        <c:crosses val="autoZero"/>
        <c:auto val="1"/>
        <c:lblAlgn val="ctr"/>
        <c:lblOffset val="100"/>
        <c:noMultiLvlLbl val="0"/>
      </c:catAx>
      <c:valAx>
        <c:axId val="123142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28464"/>
        <c:crosses val="autoZero"/>
        <c:crossBetween val="between"/>
      </c:valAx>
      <c:valAx>
        <c:axId val="12314299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14064"/>
        <c:crosses val="max"/>
        <c:crossBetween val="between"/>
      </c:valAx>
      <c:catAx>
        <c:axId val="1231414064"/>
        <c:scaling>
          <c:orientation val="minMax"/>
        </c:scaling>
        <c:delete val="1"/>
        <c:axPos val="b"/>
        <c:numFmt formatCode="General" sourceLinked="1"/>
        <c:majorTickMark val="out"/>
        <c:minorTickMark val="none"/>
        <c:tickLblPos val="nextTo"/>
        <c:crossAx val="12314299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India Status11.xlsx]ANALYSIS!PivotTable8</c:name>
    <c:fmtId val="19"/>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ANALYSIS!$BO$186</c:f>
              <c:strCache>
                <c:ptCount val="1"/>
                <c:pt idx="0">
                  <c:v>Sum of Total Cases</c:v>
                </c:pt>
              </c:strCache>
            </c:strRef>
          </c:tx>
          <c:spPr>
            <a:ln w="28575" cap="rnd">
              <a:solidFill>
                <a:schemeClr val="accent1"/>
              </a:solidFill>
              <a:round/>
            </a:ln>
            <a:effectLst/>
          </c:spPr>
          <c:marker>
            <c:symbol val="none"/>
          </c:marker>
          <c:cat>
            <c:strRef>
              <c:f>ANALYSIS!$BN$187:$BN$194</c:f>
              <c:strCache>
                <c:ptCount val="7"/>
                <c:pt idx="0">
                  <c:v>Central</c:v>
                </c:pt>
                <c:pt idx="1">
                  <c:v>East</c:v>
                </c:pt>
                <c:pt idx="2">
                  <c:v>Islands</c:v>
                </c:pt>
                <c:pt idx="3">
                  <c:v>North</c:v>
                </c:pt>
                <c:pt idx="4">
                  <c:v>North East</c:v>
                </c:pt>
                <c:pt idx="5">
                  <c:v>South</c:v>
                </c:pt>
                <c:pt idx="6">
                  <c:v>West</c:v>
                </c:pt>
              </c:strCache>
            </c:strRef>
          </c:cat>
          <c:val>
            <c:numRef>
              <c:f>ANALYSIS!$BO$187:$BO$194</c:f>
              <c:numCache>
                <c:formatCode>General</c:formatCode>
                <c:ptCount val="7"/>
                <c:pt idx="0">
                  <c:v>2244046</c:v>
                </c:pt>
                <c:pt idx="1">
                  <c:v>4773784</c:v>
                </c:pt>
                <c:pt idx="2">
                  <c:v>22181</c:v>
                </c:pt>
                <c:pt idx="3">
                  <c:v>8773147</c:v>
                </c:pt>
                <c:pt idx="4">
                  <c:v>1479238</c:v>
                </c:pt>
                <c:pt idx="5">
                  <c:v>17969320</c:v>
                </c:pt>
                <c:pt idx="6">
                  <c:v>9737369</c:v>
                </c:pt>
              </c:numCache>
            </c:numRef>
          </c:val>
          <c:smooth val="0"/>
          <c:extLst>
            <c:ext xmlns:c16="http://schemas.microsoft.com/office/drawing/2014/chart" uri="{C3380CC4-5D6E-409C-BE32-E72D297353CC}">
              <c16:uniqueId val="{00000000-97FC-4AFF-BF6D-06EBAC246367}"/>
            </c:ext>
          </c:extLst>
        </c:ser>
        <c:ser>
          <c:idx val="1"/>
          <c:order val="1"/>
          <c:tx>
            <c:strRef>
              <c:f>ANALYSIS!$BP$186</c:f>
              <c:strCache>
                <c:ptCount val="1"/>
                <c:pt idx="0">
                  <c:v>Sum of Population</c:v>
                </c:pt>
              </c:strCache>
            </c:strRef>
          </c:tx>
          <c:spPr>
            <a:ln w="28575" cap="rnd">
              <a:solidFill>
                <a:schemeClr val="accent2"/>
              </a:solidFill>
              <a:round/>
            </a:ln>
            <a:effectLst/>
          </c:spPr>
          <c:marker>
            <c:symbol val="none"/>
          </c:marker>
          <c:cat>
            <c:strRef>
              <c:f>ANALYSIS!$BN$187:$BN$194</c:f>
              <c:strCache>
                <c:ptCount val="7"/>
                <c:pt idx="0">
                  <c:v>Central</c:v>
                </c:pt>
                <c:pt idx="1">
                  <c:v>East</c:v>
                </c:pt>
                <c:pt idx="2">
                  <c:v>Islands</c:v>
                </c:pt>
                <c:pt idx="3">
                  <c:v>North</c:v>
                </c:pt>
                <c:pt idx="4">
                  <c:v>North East</c:v>
                </c:pt>
                <c:pt idx="5">
                  <c:v>South</c:v>
                </c:pt>
                <c:pt idx="6">
                  <c:v>West</c:v>
                </c:pt>
              </c:strCache>
            </c:strRef>
          </c:cat>
          <c:val>
            <c:numRef>
              <c:f>ANALYSIS!$BP$187:$BP$194</c:f>
              <c:numCache>
                <c:formatCode>General</c:formatCode>
                <c:ptCount val="7"/>
                <c:pt idx="0">
                  <c:v>43900064</c:v>
                </c:pt>
                <c:pt idx="1">
                  <c:v>216505265</c:v>
                </c:pt>
                <c:pt idx="2">
                  <c:v>112596717</c:v>
                </c:pt>
                <c:pt idx="3">
                  <c:v>168847266</c:v>
                </c:pt>
                <c:pt idx="4">
                  <c:v>252360356</c:v>
                </c:pt>
                <c:pt idx="5">
                  <c:v>329586377</c:v>
                </c:pt>
                <c:pt idx="6">
                  <c:v>306073835</c:v>
                </c:pt>
              </c:numCache>
            </c:numRef>
          </c:val>
          <c:smooth val="0"/>
          <c:extLst>
            <c:ext xmlns:c16="http://schemas.microsoft.com/office/drawing/2014/chart" uri="{C3380CC4-5D6E-409C-BE32-E72D297353CC}">
              <c16:uniqueId val="{00000001-97FC-4AFF-BF6D-06EBAC246367}"/>
            </c:ext>
          </c:extLst>
        </c:ser>
        <c:dLbls>
          <c:showLegendKey val="0"/>
          <c:showVal val="0"/>
          <c:showCatName val="0"/>
          <c:showSerName val="0"/>
          <c:showPercent val="0"/>
          <c:showBubbleSize val="0"/>
        </c:dLbls>
        <c:smooth val="0"/>
        <c:axId val="1231404944"/>
        <c:axId val="1231422224"/>
      </c:lineChart>
      <c:catAx>
        <c:axId val="123140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22224"/>
        <c:crosses val="autoZero"/>
        <c:auto val="1"/>
        <c:lblAlgn val="ctr"/>
        <c:lblOffset val="100"/>
        <c:noMultiLvlLbl val="0"/>
      </c:catAx>
      <c:valAx>
        <c:axId val="1231422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0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India Status11.xlsx]ANALYSIS!PivotTable2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ANALYSIS!$B$5</c:f>
              <c:strCache>
                <c:ptCount val="1"/>
                <c:pt idx="0">
                  <c:v>Total</c:v>
                </c:pt>
              </c:strCache>
            </c:strRef>
          </c:tx>
          <c:spPr>
            <a:solidFill>
              <a:schemeClr val="accent2"/>
            </a:solidFill>
            <a:ln>
              <a:noFill/>
            </a:ln>
            <a:effectLst/>
            <a:sp3d/>
          </c:spPr>
          <c:invertIfNegative val="0"/>
          <c:cat>
            <c:strRef>
              <c:f>ANALYSIS!$A$6:$A$42</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ANALYSIS!$B$6:$B$42</c:f>
              <c:numCache>
                <c:formatCode>General</c:formatCode>
                <c:ptCount val="36"/>
                <c:pt idx="0">
                  <c:v>10766</c:v>
                </c:pt>
                <c:pt idx="1">
                  <c:v>2340676</c:v>
                </c:pt>
                <c:pt idx="2">
                  <c:v>67049</c:v>
                </c:pt>
                <c:pt idx="3">
                  <c:v>746159</c:v>
                </c:pt>
                <c:pt idx="4">
                  <c:v>855267</c:v>
                </c:pt>
                <c:pt idx="5">
                  <c:v>100693</c:v>
                </c:pt>
                <c:pt idx="6">
                  <c:v>1187695</c:v>
                </c:pt>
                <c:pt idx="7">
                  <c:v>11592</c:v>
                </c:pt>
                <c:pt idx="8">
                  <c:v>2040910</c:v>
                </c:pt>
                <c:pt idx="9">
                  <c:v>263346</c:v>
                </c:pt>
                <c:pt idx="10">
                  <c:v>1291383</c:v>
                </c:pt>
                <c:pt idx="11">
                  <c:v>1078903</c:v>
                </c:pt>
                <c:pt idx="12">
                  <c:v>322905</c:v>
                </c:pt>
                <c:pt idx="13">
                  <c:v>482023</c:v>
                </c:pt>
                <c:pt idx="14">
                  <c:v>443826</c:v>
                </c:pt>
                <c:pt idx="15">
                  <c:v>4088769</c:v>
                </c:pt>
                <c:pt idx="16">
                  <c:v>6907241</c:v>
                </c:pt>
                <c:pt idx="17">
                  <c:v>29602</c:v>
                </c:pt>
                <c:pt idx="18">
                  <c:v>11415</c:v>
                </c:pt>
                <c:pt idx="19">
                  <c:v>1056351</c:v>
                </c:pt>
                <c:pt idx="20">
                  <c:v>8171048</c:v>
                </c:pt>
                <c:pt idx="21">
                  <c:v>140034</c:v>
                </c:pt>
                <c:pt idx="22">
                  <c:v>96983</c:v>
                </c:pt>
                <c:pt idx="23">
                  <c:v>239560</c:v>
                </c:pt>
                <c:pt idx="24">
                  <c:v>36033</c:v>
                </c:pt>
                <c:pt idx="25">
                  <c:v>1348409</c:v>
                </c:pt>
                <c:pt idx="26">
                  <c:v>177547</c:v>
                </c:pt>
                <c:pt idx="27">
                  <c:v>793644</c:v>
                </c:pt>
                <c:pt idx="28">
                  <c:v>1326465</c:v>
                </c:pt>
                <c:pt idx="29">
                  <c:v>44927</c:v>
                </c:pt>
                <c:pt idx="30">
                  <c:v>3610655</c:v>
                </c:pt>
                <c:pt idx="31">
                  <c:v>844432</c:v>
                </c:pt>
                <c:pt idx="32">
                  <c:v>108493</c:v>
                </c:pt>
                <c:pt idx="33">
                  <c:v>2145431</c:v>
                </c:pt>
                <c:pt idx="34">
                  <c:v>452571</c:v>
                </c:pt>
                <c:pt idx="35">
                  <c:v>2126282</c:v>
                </c:pt>
              </c:numCache>
            </c:numRef>
          </c:val>
          <c:extLst>
            <c:ext xmlns:c16="http://schemas.microsoft.com/office/drawing/2014/chart" uri="{C3380CC4-5D6E-409C-BE32-E72D297353CC}">
              <c16:uniqueId val="{00000000-BE6C-4FF3-86AA-4C18F32FBB59}"/>
            </c:ext>
          </c:extLst>
        </c:ser>
        <c:dLbls>
          <c:showLegendKey val="0"/>
          <c:showVal val="0"/>
          <c:showCatName val="0"/>
          <c:showSerName val="0"/>
          <c:showPercent val="0"/>
          <c:showBubbleSize val="0"/>
        </c:dLbls>
        <c:gapWidth val="150"/>
        <c:shape val="box"/>
        <c:axId val="1799810223"/>
        <c:axId val="1799803023"/>
        <c:axId val="0"/>
      </c:bar3DChart>
      <c:catAx>
        <c:axId val="179981022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803023"/>
        <c:crosses val="autoZero"/>
        <c:auto val="1"/>
        <c:lblAlgn val="ctr"/>
        <c:lblOffset val="100"/>
        <c:noMultiLvlLbl val="0"/>
      </c:catAx>
      <c:valAx>
        <c:axId val="179980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810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India Status11.xlsx]ANALYSIS!PivotTable6</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ANALYSIS!$B$162</c:f>
              <c:strCache>
                <c:ptCount val="1"/>
                <c:pt idx="0">
                  <c:v>Total</c:v>
                </c:pt>
              </c:strCache>
            </c:strRef>
          </c:tx>
          <c:spPr>
            <a:solidFill>
              <a:schemeClr val="accent1"/>
            </a:solidFill>
            <a:ln>
              <a:noFill/>
            </a:ln>
            <a:effectLst/>
          </c:spPr>
          <c:invertIfNegative val="0"/>
          <c:cat>
            <c:strRef>
              <c:f>ANALYSIS!$A$163:$A$199</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ANALYSIS!$B$163:$B$199</c:f>
              <c:numCache>
                <c:formatCode>General</c:formatCode>
                <c:ptCount val="36"/>
                <c:pt idx="0">
                  <c:v>10766</c:v>
                </c:pt>
                <c:pt idx="1">
                  <c:v>2340676</c:v>
                </c:pt>
                <c:pt idx="2">
                  <c:v>67049</c:v>
                </c:pt>
                <c:pt idx="3">
                  <c:v>746159</c:v>
                </c:pt>
                <c:pt idx="4">
                  <c:v>855267</c:v>
                </c:pt>
                <c:pt idx="5">
                  <c:v>100693</c:v>
                </c:pt>
                <c:pt idx="6">
                  <c:v>1187695</c:v>
                </c:pt>
                <c:pt idx="7">
                  <c:v>11592</c:v>
                </c:pt>
                <c:pt idx="8">
                  <c:v>2040910</c:v>
                </c:pt>
                <c:pt idx="9">
                  <c:v>263346</c:v>
                </c:pt>
                <c:pt idx="10">
                  <c:v>1291383</c:v>
                </c:pt>
                <c:pt idx="11">
                  <c:v>1078903</c:v>
                </c:pt>
                <c:pt idx="12">
                  <c:v>322905</c:v>
                </c:pt>
                <c:pt idx="13">
                  <c:v>482023</c:v>
                </c:pt>
                <c:pt idx="14">
                  <c:v>443826</c:v>
                </c:pt>
                <c:pt idx="15">
                  <c:v>4088769</c:v>
                </c:pt>
                <c:pt idx="16">
                  <c:v>6907241</c:v>
                </c:pt>
                <c:pt idx="17">
                  <c:v>29602</c:v>
                </c:pt>
                <c:pt idx="18">
                  <c:v>11415</c:v>
                </c:pt>
                <c:pt idx="19">
                  <c:v>1056351</c:v>
                </c:pt>
                <c:pt idx="20">
                  <c:v>8171048</c:v>
                </c:pt>
                <c:pt idx="21">
                  <c:v>140034</c:v>
                </c:pt>
                <c:pt idx="22">
                  <c:v>96983</c:v>
                </c:pt>
                <c:pt idx="23">
                  <c:v>239560</c:v>
                </c:pt>
                <c:pt idx="24">
                  <c:v>36033</c:v>
                </c:pt>
                <c:pt idx="25">
                  <c:v>1348409</c:v>
                </c:pt>
                <c:pt idx="26">
                  <c:v>177547</c:v>
                </c:pt>
                <c:pt idx="27">
                  <c:v>793644</c:v>
                </c:pt>
                <c:pt idx="28">
                  <c:v>1326465</c:v>
                </c:pt>
                <c:pt idx="29">
                  <c:v>44927</c:v>
                </c:pt>
                <c:pt idx="30">
                  <c:v>3610655</c:v>
                </c:pt>
                <c:pt idx="31">
                  <c:v>844432</c:v>
                </c:pt>
                <c:pt idx="32">
                  <c:v>108493</c:v>
                </c:pt>
                <c:pt idx="33">
                  <c:v>2145431</c:v>
                </c:pt>
                <c:pt idx="34">
                  <c:v>452571</c:v>
                </c:pt>
                <c:pt idx="35">
                  <c:v>2126282</c:v>
                </c:pt>
              </c:numCache>
            </c:numRef>
          </c:val>
          <c:extLst>
            <c:ext xmlns:c16="http://schemas.microsoft.com/office/drawing/2014/chart" uri="{C3380CC4-5D6E-409C-BE32-E72D297353CC}">
              <c16:uniqueId val="{00000000-6984-4FD3-938E-1AB1FFA17FFF}"/>
            </c:ext>
          </c:extLst>
        </c:ser>
        <c:dLbls>
          <c:showLegendKey val="0"/>
          <c:showVal val="0"/>
          <c:showCatName val="0"/>
          <c:showSerName val="0"/>
          <c:showPercent val="0"/>
          <c:showBubbleSize val="0"/>
        </c:dLbls>
        <c:gapWidth val="150"/>
        <c:overlap val="100"/>
        <c:axId val="1950490191"/>
        <c:axId val="1950483471"/>
      </c:barChart>
      <c:catAx>
        <c:axId val="1950490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483471"/>
        <c:crosses val="autoZero"/>
        <c:auto val="1"/>
        <c:lblAlgn val="ctr"/>
        <c:lblOffset val="100"/>
        <c:noMultiLvlLbl val="0"/>
      </c:catAx>
      <c:valAx>
        <c:axId val="1950483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49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India Status11.xlsx]ANALYSIS!PivotTable5</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a:sp3d contourW="25400">
            <a:contourClr>
              <a:schemeClr val="lt1"/>
            </a:contourClr>
          </a:sp3d>
        </c:spPr>
      </c:pivotFmt>
      <c:pivotFmt>
        <c:idx val="3"/>
        <c:spPr>
          <a:solidFill>
            <a:schemeClr val="accent6"/>
          </a:solidFill>
          <a:ln w="19050">
            <a:solidFill>
              <a:schemeClr val="lt1"/>
            </a:solidFill>
          </a:ln>
          <a:effectLst/>
          <a:sp3d contourW="25400">
            <a:contourClr>
              <a:schemeClr val="lt1"/>
            </a:contourClr>
          </a:sp3d>
        </c:spPr>
      </c:pivotFmt>
      <c:pivotFmt>
        <c:idx val="4"/>
        <c:spPr>
          <a:solidFill>
            <a:schemeClr val="accent6"/>
          </a:solidFill>
          <a:ln w="19050">
            <a:solidFill>
              <a:schemeClr val="lt1"/>
            </a:solidFill>
          </a:ln>
          <a:effectLst/>
          <a:sp3d contourW="25400">
            <a:contourClr>
              <a:schemeClr val="lt1"/>
            </a:contourClr>
          </a:sp3d>
        </c:spPr>
      </c:pivotFmt>
      <c:pivotFmt>
        <c:idx val="5"/>
        <c:spPr>
          <a:solidFill>
            <a:schemeClr val="accent6"/>
          </a:solidFill>
          <a:ln w="19050">
            <a:solidFill>
              <a:schemeClr val="lt1"/>
            </a:solidFill>
          </a:ln>
          <a:effectLst/>
          <a:sp3d contourW="25400">
            <a:contourClr>
              <a:schemeClr val="lt1"/>
            </a:contourClr>
          </a:sp3d>
        </c:spPr>
      </c:pivotFmt>
      <c:pivotFmt>
        <c:idx val="6"/>
        <c:spPr>
          <a:solidFill>
            <a:schemeClr val="accent6"/>
          </a:solidFill>
          <a:ln w="19050">
            <a:solidFill>
              <a:schemeClr val="lt1"/>
            </a:solidFill>
          </a:ln>
          <a:effectLst/>
          <a:sp3d contourW="25400">
            <a:contourClr>
              <a:schemeClr val="lt1"/>
            </a:contourClr>
          </a:sp3d>
        </c:spPr>
      </c:pivotFmt>
      <c:pivotFmt>
        <c:idx val="7"/>
        <c:spPr>
          <a:solidFill>
            <a:schemeClr val="accent6"/>
          </a:solidFill>
          <a:ln w="19050">
            <a:solidFill>
              <a:schemeClr val="lt1"/>
            </a:solidFill>
          </a:ln>
          <a:effectLst/>
          <a:sp3d contourW="25400">
            <a:contourClr>
              <a:schemeClr val="lt1"/>
            </a:contourClr>
          </a:sp3d>
        </c:spPr>
      </c:pivotFmt>
      <c:pivotFmt>
        <c:idx val="8"/>
        <c:spPr>
          <a:solidFill>
            <a:schemeClr val="accent6"/>
          </a:solidFill>
          <a:ln w="19050">
            <a:solidFill>
              <a:schemeClr val="lt1"/>
            </a:solidFill>
          </a:ln>
          <a:effectLst/>
          <a:sp3d contourW="25400">
            <a:contourClr>
              <a:schemeClr val="lt1"/>
            </a:contourClr>
          </a:sp3d>
        </c:spPr>
      </c:pivotFmt>
      <c:pivotFmt>
        <c:idx val="9"/>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5400">
            <a:solidFill>
              <a:schemeClr val="lt1"/>
            </a:solidFill>
          </a:ln>
          <a:effectLst/>
          <a:sp3d contourW="25400">
            <a:contourClr>
              <a:schemeClr val="lt1"/>
            </a:contourClr>
          </a:sp3d>
        </c:spPr>
      </c:pivotFmt>
      <c:pivotFmt>
        <c:idx val="11"/>
        <c:spPr>
          <a:solidFill>
            <a:schemeClr val="accent6"/>
          </a:solidFill>
          <a:ln w="25400">
            <a:solidFill>
              <a:schemeClr val="lt1"/>
            </a:solidFill>
          </a:ln>
          <a:effectLst/>
          <a:sp3d contourW="25400">
            <a:contourClr>
              <a:schemeClr val="lt1"/>
            </a:contourClr>
          </a:sp3d>
        </c:spPr>
      </c:pivotFmt>
      <c:pivotFmt>
        <c:idx val="12"/>
        <c:spPr>
          <a:solidFill>
            <a:schemeClr val="accent6"/>
          </a:solidFill>
          <a:ln w="25400">
            <a:solidFill>
              <a:schemeClr val="lt1"/>
            </a:solidFill>
          </a:ln>
          <a:effectLst/>
          <a:sp3d contourW="25400">
            <a:contourClr>
              <a:schemeClr val="lt1"/>
            </a:contourClr>
          </a:sp3d>
        </c:spPr>
      </c:pivotFmt>
      <c:pivotFmt>
        <c:idx val="13"/>
        <c:spPr>
          <a:solidFill>
            <a:schemeClr val="accent6"/>
          </a:solidFill>
          <a:ln w="25400">
            <a:solidFill>
              <a:schemeClr val="lt1"/>
            </a:solidFill>
          </a:ln>
          <a:effectLst/>
          <a:sp3d contourW="25400">
            <a:contourClr>
              <a:schemeClr val="lt1"/>
            </a:contourClr>
          </a:sp3d>
        </c:spPr>
      </c:pivotFmt>
      <c:pivotFmt>
        <c:idx val="14"/>
        <c:spPr>
          <a:solidFill>
            <a:schemeClr val="accent6"/>
          </a:solidFill>
          <a:ln w="25400">
            <a:solidFill>
              <a:schemeClr val="lt1"/>
            </a:solidFill>
          </a:ln>
          <a:effectLst/>
          <a:sp3d contourW="25400">
            <a:contourClr>
              <a:schemeClr val="lt1"/>
            </a:contourClr>
          </a:sp3d>
        </c:spPr>
      </c:pivotFmt>
      <c:pivotFmt>
        <c:idx val="15"/>
        <c:spPr>
          <a:solidFill>
            <a:schemeClr val="accent6"/>
          </a:solidFill>
          <a:ln w="25400">
            <a:solidFill>
              <a:schemeClr val="lt1"/>
            </a:solidFill>
          </a:ln>
          <a:effectLst/>
          <a:sp3d contourW="25400">
            <a:contourClr>
              <a:schemeClr val="lt1"/>
            </a:contourClr>
          </a:sp3d>
        </c:spPr>
      </c:pivotFmt>
      <c:pivotFmt>
        <c:idx val="16"/>
        <c:spPr>
          <a:solidFill>
            <a:schemeClr val="accent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ANALYSIS!$BI$116</c:f>
              <c:strCache>
                <c:ptCount val="1"/>
                <c:pt idx="0">
                  <c:v>Total</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DC4E-431A-A319-6853FDCB7952}"/>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DC4E-431A-A319-6853FDCB7952}"/>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DC4E-431A-A319-6853FDCB7952}"/>
              </c:ext>
            </c:extLst>
          </c:dPt>
          <c:dPt>
            <c:idx val="3"/>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DC4E-431A-A319-6853FDCB7952}"/>
              </c:ext>
            </c:extLst>
          </c:dPt>
          <c:dPt>
            <c:idx val="4"/>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DC4E-431A-A319-6853FDCB7952}"/>
              </c:ext>
            </c:extLst>
          </c:dPt>
          <c:dPt>
            <c:idx val="5"/>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DC4E-431A-A319-6853FDCB7952}"/>
              </c:ext>
            </c:extLst>
          </c:dPt>
          <c:dPt>
            <c:idx val="6"/>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DC4E-431A-A319-6853FDCB79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ANALYSIS!$BH$117:$BH$124</c:f>
              <c:strCache>
                <c:ptCount val="7"/>
                <c:pt idx="0">
                  <c:v>Central</c:v>
                </c:pt>
                <c:pt idx="1">
                  <c:v>East</c:v>
                </c:pt>
                <c:pt idx="2">
                  <c:v>Islands</c:v>
                </c:pt>
                <c:pt idx="3">
                  <c:v>North</c:v>
                </c:pt>
                <c:pt idx="4">
                  <c:v>North East</c:v>
                </c:pt>
                <c:pt idx="5">
                  <c:v>South</c:v>
                </c:pt>
                <c:pt idx="6">
                  <c:v>West</c:v>
                </c:pt>
              </c:strCache>
            </c:strRef>
          </c:cat>
          <c:val>
            <c:numRef>
              <c:f>ANALYSIS!$BI$117:$BI$124</c:f>
              <c:numCache>
                <c:formatCode>General</c:formatCode>
                <c:ptCount val="7"/>
                <c:pt idx="0">
                  <c:v>2.21</c:v>
                </c:pt>
                <c:pt idx="1">
                  <c:v>4.33</c:v>
                </c:pt>
                <c:pt idx="2">
                  <c:v>1.66</c:v>
                </c:pt>
                <c:pt idx="3">
                  <c:v>12.570000000000002</c:v>
                </c:pt>
                <c:pt idx="4">
                  <c:v>9.1999999999999975</c:v>
                </c:pt>
                <c:pt idx="5">
                  <c:v>5.32</c:v>
                </c:pt>
                <c:pt idx="6">
                  <c:v>4.2300000000000004</c:v>
                </c:pt>
              </c:numCache>
            </c:numRef>
          </c:val>
          <c:extLst>
            <c:ext xmlns:c16="http://schemas.microsoft.com/office/drawing/2014/chart" uri="{C3380CC4-5D6E-409C-BE32-E72D297353CC}">
              <c16:uniqueId val="{0000000E-DC4E-431A-A319-6853FDCB795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India Status11.xlsx]ANALYSIS!PivotTable8</c:name>
    <c:fmtId val="25"/>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ANALYSIS!$BO$186</c:f>
              <c:strCache>
                <c:ptCount val="1"/>
                <c:pt idx="0">
                  <c:v>Sum of Total Cases</c:v>
                </c:pt>
              </c:strCache>
            </c:strRef>
          </c:tx>
          <c:spPr>
            <a:solidFill>
              <a:schemeClr val="accent6"/>
            </a:solidFill>
            <a:ln>
              <a:noFill/>
            </a:ln>
            <a:effectLst/>
          </c:spPr>
          <c:invertIfNegative val="0"/>
          <c:cat>
            <c:strRef>
              <c:f>ANALYSIS!$BN$187:$BN$194</c:f>
              <c:strCache>
                <c:ptCount val="7"/>
                <c:pt idx="0">
                  <c:v>Central</c:v>
                </c:pt>
                <c:pt idx="1">
                  <c:v>East</c:v>
                </c:pt>
                <c:pt idx="2">
                  <c:v>Islands</c:v>
                </c:pt>
                <c:pt idx="3">
                  <c:v>North</c:v>
                </c:pt>
                <c:pt idx="4">
                  <c:v>North East</c:v>
                </c:pt>
                <c:pt idx="5">
                  <c:v>South</c:v>
                </c:pt>
                <c:pt idx="6">
                  <c:v>West</c:v>
                </c:pt>
              </c:strCache>
            </c:strRef>
          </c:cat>
          <c:val>
            <c:numRef>
              <c:f>ANALYSIS!$BO$187:$BO$194</c:f>
              <c:numCache>
                <c:formatCode>General</c:formatCode>
                <c:ptCount val="7"/>
                <c:pt idx="0">
                  <c:v>2244046</c:v>
                </c:pt>
                <c:pt idx="1">
                  <c:v>4773784</c:v>
                </c:pt>
                <c:pt idx="2">
                  <c:v>22181</c:v>
                </c:pt>
                <c:pt idx="3">
                  <c:v>8773147</c:v>
                </c:pt>
                <c:pt idx="4">
                  <c:v>1479238</c:v>
                </c:pt>
                <c:pt idx="5">
                  <c:v>17969320</c:v>
                </c:pt>
                <c:pt idx="6">
                  <c:v>9737369</c:v>
                </c:pt>
              </c:numCache>
            </c:numRef>
          </c:val>
          <c:extLst>
            <c:ext xmlns:c16="http://schemas.microsoft.com/office/drawing/2014/chart" uri="{C3380CC4-5D6E-409C-BE32-E72D297353CC}">
              <c16:uniqueId val="{00000000-4EB0-4FCB-8A0D-DCBF54643932}"/>
            </c:ext>
          </c:extLst>
        </c:ser>
        <c:dLbls>
          <c:showLegendKey val="0"/>
          <c:showVal val="0"/>
          <c:showCatName val="0"/>
          <c:showSerName val="0"/>
          <c:showPercent val="0"/>
          <c:showBubbleSize val="0"/>
        </c:dLbls>
        <c:gapWidth val="219"/>
        <c:overlap val="-27"/>
        <c:axId val="1231428464"/>
        <c:axId val="1231426064"/>
      </c:barChart>
      <c:lineChart>
        <c:grouping val="standard"/>
        <c:varyColors val="0"/>
        <c:ser>
          <c:idx val="1"/>
          <c:order val="1"/>
          <c:tx>
            <c:strRef>
              <c:f>ANALYSIS!$BP$186</c:f>
              <c:strCache>
                <c:ptCount val="1"/>
                <c:pt idx="0">
                  <c:v>Sum of Population</c:v>
                </c:pt>
              </c:strCache>
            </c:strRef>
          </c:tx>
          <c:spPr>
            <a:ln w="28575" cap="rnd">
              <a:solidFill>
                <a:schemeClr val="accent5"/>
              </a:solidFill>
              <a:round/>
            </a:ln>
            <a:effectLst/>
          </c:spPr>
          <c:marker>
            <c:symbol val="none"/>
          </c:marker>
          <c:cat>
            <c:strRef>
              <c:f>ANALYSIS!$BN$187:$BN$194</c:f>
              <c:strCache>
                <c:ptCount val="7"/>
                <c:pt idx="0">
                  <c:v>Central</c:v>
                </c:pt>
                <c:pt idx="1">
                  <c:v>East</c:v>
                </c:pt>
                <c:pt idx="2">
                  <c:v>Islands</c:v>
                </c:pt>
                <c:pt idx="3">
                  <c:v>North</c:v>
                </c:pt>
                <c:pt idx="4">
                  <c:v>North East</c:v>
                </c:pt>
                <c:pt idx="5">
                  <c:v>South</c:v>
                </c:pt>
                <c:pt idx="6">
                  <c:v>West</c:v>
                </c:pt>
              </c:strCache>
            </c:strRef>
          </c:cat>
          <c:val>
            <c:numRef>
              <c:f>ANALYSIS!$BP$187:$BP$194</c:f>
              <c:numCache>
                <c:formatCode>General</c:formatCode>
                <c:ptCount val="7"/>
                <c:pt idx="0">
                  <c:v>43900064</c:v>
                </c:pt>
                <c:pt idx="1">
                  <c:v>216505265</c:v>
                </c:pt>
                <c:pt idx="2">
                  <c:v>112596717</c:v>
                </c:pt>
                <c:pt idx="3">
                  <c:v>168847266</c:v>
                </c:pt>
                <c:pt idx="4">
                  <c:v>252360356</c:v>
                </c:pt>
                <c:pt idx="5">
                  <c:v>329586377</c:v>
                </c:pt>
                <c:pt idx="6">
                  <c:v>306073835</c:v>
                </c:pt>
              </c:numCache>
            </c:numRef>
          </c:val>
          <c:smooth val="0"/>
          <c:extLst>
            <c:ext xmlns:c16="http://schemas.microsoft.com/office/drawing/2014/chart" uri="{C3380CC4-5D6E-409C-BE32-E72D297353CC}">
              <c16:uniqueId val="{00000001-4EB0-4FCB-8A0D-DCBF54643932}"/>
            </c:ext>
          </c:extLst>
        </c:ser>
        <c:dLbls>
          <c:showLegendKey val="0"/>
          <c:showVal val="0"/>
          <c:showCatName val="0"/>
          <c:showSerName val="0"/>
          <c:showPercent val="0"/>
          <c:showBubbleSize val="0"/>
        </c:dLbls>
        <c:marker val="1"/>
        <c:smooth val="0"/>
        <c:axId val="1231414064"/>
        <c:axId val="1231429904"/>
      </c:lineChart>
      <c:catAx>
        <c:axId val="123142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26064"/>
        <c:crosses val="autoZero"/>
        <c:auto val="1"/>
        <c:lblAlgn val="ctr"/>
        <c:lblOffset val="100"/>
        <c:noMultiLvlLbl val="0"/>
      </c:catAx>
      <c:valAx>
        <c:axId val="1231426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28464"/>
        <c:crosses val="autoZero"/>
        <c:crossBetween val="between"/>
      </c:valAx>
      <c:valAx>
        <c:axId val="12314299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14064"/>
        <c:crosses val="max"/>
        <c:crossBetween val="between"/>
      </c:valAx>
      <c:catAx>
        <c:axId val="1231414064"/>
        <c:scaling>
          <c:orientation val="minMax"/>
        </c:scaling>
        <c:delete val="1"/>
        <c:axPos val="b"/>
        <c:numFmt formatCode="General" sourceLinked="1"/>
        <c:majorTickMark val="out"/>
        <c:minorTickMark val="none"/>
        <c:tickLblPos val="nextTo"/>
        <c:crossAx val="12314299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3.xml"/><Relationship Id="rId7" Type="http://schemas.openxmlformats.org/officeDocument/2006/relationships/image" Target="../media/image3.png"/><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599730</xdr:colOff>
      <xdr:row>5</xdr:row>
      <xdr:rowOff>42758</xdr:rowOff>
    </xdr:from>
    <xdr:to>
      <xdr:col>10</xdr:col>
      <xdr:colOff>104766</xdr:colOff>
      <xdr:row>34</xdr:row>
      <xdr:rowOff>80102</xdr:rowOff>
    </xdr:to>
    <xdr:graphicFrame macro="">
      <xdr:nvGraphicFramePr>
        <xdr:cNvPr id="2" name="Chart 1">
          <a:extLst>
            <a:ext uri="{FF2B5EF4-FFF2-40B4-BE49-F238E27FC236}">
              <a16:creationId xmlns:a16="http://schemas.microsoft.com/office/drawing/2014/main" id="{DFEAD8BC-A1D7-3F7A-34C7-C9A0B3BB9D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950951</xdr:colOff>
      <xdr:row>85</xdr:row>
      <xdr:rowOff>91997</xdr:rowOff>
    </xdr:from>
    <xdr:to>
      <xdr:col>16</xdr:col>
      <xdr:colOff>201342</xdr:colOff>
      <xdr:row>115</xdr:row>
      <xdr:rowOff>61951</xdr:rowOff>
    </xdr:to>
    <xdr:graphicFrame macro="">
      <xdr:nvGraphicFramePr>
        <xdr:cNvPr id="4" name="Chart 3">
          <a:extLst>
            <a:ext uri="{FF2B5EF4-FFF2-40B4-BE49-F238E27FC236}">
              <a16:creationId xmlns:a16="http://schemas.microsoft.com/office/drawing/2014/main" id="{B202F84B-A629-5599-CC7F-E84FC0BDA1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1679436</xdr:colOff>
      <xdr:row>163</xdr:row>
      <xdr:rowOff>103256</xdr:rowOff>
    </xdr:from>
    <xdr:to>
      <xdr:col>9</xdr:col>
      <xdr:colOff>40860</xdr:colOff>
      <xdr:row>182</xdr:row>
      <xdr:rowOff>39203</xdr:rowOff>
    </xdr:to>
    <xdr:graphicFrame macro="">
      <xdr:nvGraphicFramePr>
        <xdr:cNvPr id="6" name="Chart 5">
          <a:extLst>
            <a:ext uri="{FF2B5EF4-FFF2-40B4-BE49-F238E27FC236}">
              <a16:creationId xmlns:a16="http://schemas.microsoft.com/office/drawing/2014/main" id="{20FA4E03-FDEA-33F6-6A57-FA0B920AAB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xdr:col>
      <xdr:colOff>912091</xdr:colOff>
      <xdr:row>9</xdr:row>
      <xdr:rowOff>138545</xdr:rowOff>
    </xdr:from>
    <xdr:ext cx="2262909" cy="264560"/>
    <xdr:sp macro="" textlink="">
      <xdr:nvSpPr>
        <xdr:cNvPr id="12" name="TextBox 11">
          <a:extLst>
            <a:ext uri="{FF2B5EF4-FFF2-40B4-BE49-F238E27FC236}">
              <a16:creationId xmlns:a16="http://schemas.microsoft.com/office/drawing/2014/main" id="{5655008B-16DE-E337-3315-809DC12004C9}"/>
            </a:ext>
          </a:extLst>
        </xdr:cNvPr>
        <xdr:cNvSpPr txBox="1"/>
      </xdr:nvSpPr>
      <xdr:spPr>
        <a:xfrm>
          <a:off x="5045364" y="1801090"/>
          <a:ext cx="226290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	</a:t>
          </a:r>
        </a:p>
      </xdr:txBody>
    </xdr:sp>
    <xdr:clientData/>
  </xdr:oneCellAnchor>
  <xdr:twoCellAnchor>
    <xdr:from>
      <xdr:col>39</xdr:col>
      <xdr:colOff>0</xdr:colOff>
      <xdr:row>5</xdr:row>
      <xdr:rowOff>0</xdr:rowOff>
    </xdr:from>
    <xdr:to>
      <xdr:col>52</xdr:col>
      <xdr:colOff>458815</xdr:colOff>
      <xdr:row>33</xdr:row>
      <xdr:rowOff>85028</xdr:rowOff>
    </xdr:to>
    <xdr:graphicFrame macro="">
      <xdr:nvGraphicFramePr>
        <xdr:cNvPr id="14" name="Chart 13">
          <a:extLst>
            <a:ext uri="{FF2B5EF4-FFF2-40B4-BE49-F238E27FC236}">
              <a16:creationId xmlns:a16="http://schemas.microsoft.com/office/drawing/2014/main" id="{22C6A4D9-DB88-492F-96A7-898214676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62</xdr:col>
      <xdr:colOff>0</xdr:colOff>
      <xdr:row>9</xdr:row>
      <xdr:rowOff>0</xdr:rowOff>
    </xdr:from>
    <xdr:to>
      <xdr:col>76</xdr:col>
      <xdr:colOff>40270</xdr:colOff>
      <xdr:row>40</xdr:row>
      <xdr:rowOff>93857</xdr:rowOff>
    </xdr:to>
    <xdr:graphicFrame macro="">
      <xdr:nvGraphicFramePr>
        <xdr:cNvPr id="15" name="Chart 14">
          <a:extLst>
            <a:ext uri="{FF2B5EF4-FFF2-40B4-BE49-F238E27FC236}">
              <a16:creationId xmlns:a16="http://schemas.microsoft.com/office/drawing/2014/main" id="{084E5AF1-63C7-44DA-A9C6-8AC744DCB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40</xdr:col>
      <xdr:colOff>0</xdr:colOff>
      <xdr:row>186</xdr:row>
      <xdr:rowOff>0</xdr:rowOff>
    </xdr:from>
    <xdr:to>
      <xdr:col>51</xdr:col>
      <xdr:colOff>439284</xdr:colOff>
      <xdr:row>204</xdr:row>
      <xdr:rowOff>98533</xdr:rowOff>
    </xdr:to>
    <xdr:graphicFrame macro="">
      <xdr:nvGraphicFramePr>
        <xdr:cNvPr id="17" name="Chart 16">
          <a:extLst>
            <a:ext uri="{FF2B5EF4-FFF2-40B4-BE49-F238E27FC236}">
              <a16:creationId xmlns:a16="http://schemas.microsoft.com/office/drawing/2014/main" id="{78FF340D-5844-48D4-A7C4-565590A97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99</xdr:col>
      <xdr:colOff>0</xdr:colOff>
      <xdr:row>15</xdr:row>
      <xdr:rowOff>0</xdr:rowOff>
    </xdr:from>
    <xdr:to>
      <xdr:col>114</xdr:col>
      <xdr:colOff>115405</xdr:colOff>
      <xdr:row>45</xdr:row>
      <xdr:rowOff>126448</xdr:rowOff>
    </xdr:to>
    <xdr:graphicFrame macro="">
      <xdr:nvGraphicFramePr>
        <xdr:cNvPr id="19" name="Chart 18">
          <a:extLst>
            <a:ext uri="{FF2B5EF4-FFF2-40B4-BE49-F238E27FC236}">
              <a16:creationId xmlns:a16="http://schemas.microsoft.com/office/drawing/2014/main" id="{A2D3D411-150B-4537-A637-E2822EB74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589803</xdr:colOff>
      <xdr:row>7</xdr:row>
      <xdr:rowOff>181908</xdr:rowOff>
    </xdr:from>
    <xdr:to>
      <xdr:col>13</xdr:col>
      <xdr:colOff>569634</xdr:colOff>
      <xdr:row>21</xdr:row>
      <xdr:rowOff>91327</xdr:rowOff>
    </xdr:to>
    <mc:AlternateContent xmlns:mc="http://schemas.openxmlformats.org/markup-compatibility/2006" xmlns:a14="http://schemas.microsoft.com/office/drawing/2010/main">
      <mc:Choice Requires="a14">
        <xdr:graphicFrame macro="">
          <xdr:nvGraphicFramePr>
            <xdr:cNvPr id="24" name="States">
              <a:extLst>
                <a:ext uri="{FF2B5EF4-FFF2-40B4-BE49-F238E27FC236}">
                  <a16:creationId xmlns:a16="http://schemas.microsoft.com/office/drawing/2014/main" id="{84C2D58F-AD45-F669-F9A1-8A41ADD9425F}"/>
                </a:ext>
              </a:extLst>
            </xdr:cNvPr>
            <xdr:cNvGraphicFramePr/>
          </xdr:nvGraphicFramePr>
          <xdr:xfrm>
            <a:off x="0" y="0"/>
            <a:ext cx="0" cy="0"/>
          </xdr:xfrm>
          <a:graphic>
            <a:graphicData uri="http://schemas.microsoft.com/office/drawing/2010/slicer">
              <sle:slicer xmlns:sle="http://schemas.microsoft.com/office/drawing/2010/slicer" name="States"/>
            </a:graphicData>
          </a:graphic>
        </xdr:graphicFrame>
      </mc:Choice>
      <mc:Fallback xmlns="">
        <xdr:sp macro="" textlink="">
          <xdr:nvSpPr>
            <xdr:cNvPr id="0" name=""/>
            <xdr:cNvSpPr>
              <a:spLocks noTextEdit="1"/>
            </xdr:cNvSpPr>
          </xdr:nvSpPr>
          <xdr:spPr>
            <a:xfrm>
              <a:off x="13488241" y="1432064"/>
              <a:ext cx="1825300" cy="2409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356347</xdr:colOff>
      <xdr:row>6</xdr:row>
      <xdr:rowOff>97864</xdr:rowOff>
    </xdr:from>
    <xdr:to>
      <xdr:col>22</xdr:col>
      <xdr:colOff>336174</xdr:colOff>
      <xdr:row>20</xdr:row>
      <xdr:rowOff>7283</xdr:rowOff>
    </xdr:to>
    <mc:AlternateContent xmlns:mc="http://schemas.openxmlformats.org/markup-compatibility/2006" xmlns:a14="http://schemas.microsoft.com/office/drawing/2010/main">
      <mc:Choice Requires="a14">
        <xdr:graphicFrame macro="">
          <xdr:nvGraphicFramePr>
            <xdr:cNvPr id="25" name="Region">
              <a:extLst>
                <a:ext uri="{FF2B5EF4-FFF2-40B4-BE49-F238E27FC236}">
                  <a16:creationId xmlns:a16="http://schemas.microsoft.com/office/drawing/2014/main" id="{2A890354-7092-5DE5-18E8-2C3652E3296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791191" y="1169427"/>
              <a:ext cx="1825298" cy="24097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66862</xdr:colOff>
      <xdr:row>6</xdr:row>
      <xdr:rowOff>51174</xdr:rowOff>
    </xdr:from>
    <xdr:to>
      <xdr:col>18</xdr:col>
      <xdr:colOff>46691</xdr:colOff>
      <xdr:row>19</xdr:row>
      <xdr:rowOff>147358</xdr:rowOff>
    </xdr:to>
    <mc:AlternateContent xmlns:mc="http://schemas.openxmlformats.org/markup-compatibility/2006" xmlns:a14="http://schemas.microsoft.com/office/drawing/2010/main">
      <mc:Choice Requires="a14">
        <xdr:graphicFrame macro="">
          <xdr:nvGraphicFramePr>
            <xdr:cNvPr id="26" name="Active">
              <a:extLst>
                <a:ext uri="{FF2B5EF4-FFF2-40B4-BE49-F238E27FC236}">
                  <a16:creationId xmlns:a16="http://schemas.microsoft.com/office/drawing/2014/main" id="{979316CF-29BE-6C46-F9BC-450782ABBA59}"/>
                </a:ext>
              </a:extLst>
            </xdr:cNvPr>
            <xdr:cNvGraphicFramePr/>
          </xdr:nvGraphicFramePr>
          <xdr:xfrm>
            <a:off x="0" y="0"/>
            <a:ext cx="0" cy="0"/>
          </xdr:xfrm>
          <a:graphic>
            <a:graphicData uri="http://schemas.microsoft.com/office/drawing/2010/slicer">
              <sle:slicer xmlns:sle="http://schemas.microsoft.com/office/drawing/2010/slicer" name="Active"/>
            </a:graphicData>
          </a:graphic>
        </xdr:graphicFrame>
      </mc:Choice>
      <mc:Fallback xmlns="">
        <xdr:sp macro="" textlink="">
          <xdr:nvSpPr>
            <xdr:cNvPr id="0" name=""/>
            <xdr:cNvSpPr>
              <a:spLocks noTextEdit="1"/>
            </xdr:cNvSpPr>
          </xdr:nvSpPr>
          <xdr:spPr>
            <a:xfrm>
              <a:off x="16041081" y="1122737"/>
              <a:ext cx="1825298" cy="24179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599141</xdr:colOff>
      <xdr:row>25</xdr:row>
      <xdr:rowOff>116541</xdr:rowOff>
    </xdr:from>
    <xdr:to>
      <xdr:col>16</xdr:col>
      <xdr:colOff>578971</xdr:colOff>
      <xdr:row>39</xdr:row>
      <xdr:rowOff>25960</xdr:rowOff>
    </xdr:to>
    <mc:AlternateContent xmlns:mc="http://schemas.openxmlformats.org/markup-compatibility/2006" xmlns:a14="http://schemas.microsoft.com/office/drawing/2010/main">
      <mc:Choice Requires="a14">
        <xdr:graphicFrame macro="">
          <xdr:nvGraphicFramePr>
            <xdr:cNvPr id="27" name="Active Ratio">
              <a:extLst>
                <a:ext uri="{FF2B5EF4-FFF2-40B4-BE49-F238E27FC236}">
                  <a16:creationId xmlns:a16="http://schemas.microsoft.com/office/drawing/2014/main" id="{1A4E0782-B0BA-A2A0-BA05-B9FFEF881CD2}"/>
                </a:ext>
              </a:extLst>
            </xdr:cNvPr>
            <xdr:cNvGraphicFramePr/>
          </xdr:nvGraphicFramePr>
          <xdr:xfrm>
            <a:off x="0" y="0"/>
            <a:ext cx="0" cy="0"/>
          </xdr:xfrm>
          <a:graphic>
            <a:graphicData uri="http://schemas.microsoft.com/office/drawing/2010/slicer">
              <sle:slicer xmlns:sle="http://schemas.microsoft.com/office/drawing/2010/slicer" name="Active Ratio"/>
            </a:graphicData>
          </a:graphic>
        </xdr:graphicFrame>
      </mc:Choice>
      <mc:Fallback xmlns="">
        <xdr:sp macro="" textlink="">
          <xdr:nvSpPr>
            <xdr:cNvPr id="0" name=""/>
            <xdr:cNvSpPr>
              <a:spLocks noTextEdit="1"/>
            </xdr:cNvSpPr>
          </xdr:nvSpPr>
          <xdr:spPr>
            <a:xfrm>
              <a:off x="15343047" y="4581385"/>
              <a:ext cx="1825297" cy="24097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64</xdr:col>
      <xdr:colOff>311727</xdr:colOff>
      <xdr:row>111</xdr:row>
      <xdr:rowOff>158172</xdr:rowOff>
    </xdr:from>
    <xdr:to>
      <xdr:col>68</xdr:col>
      <xdr:colOff>323273</xdr:colOff>
      <xdr:row>127</xdr:row>
      <xdr:rowOff>130463</xdr:rowOff>
    </xdr:to>
    <xdr:graphicFrame macro="">
      <xdr:nvGraphicFramePr>
        <xdr:cNvPr id="5" name="Chart 4">
          <a:extLst>
            <a:ext uri="{FF2B5EF4-FFF2-40B4-BE49-F238E27FC236}">
              <a16:creationId xmlns:a16="http://schemas.microsoft.com/office/drawing/2014/main" id="{C582D6CE-D707-4ADA-55AD-B7BD012D4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68</xdr:col>
      <xdr:colOff>284238</xdr:colOff>
      <xdr:row>182</xdr:row>
      <xdr:rowOff>64710</xdr:rowOff>
    </xdr:from>
    <xdr:to>
      <xdr:col>70</xdr:col>
      <xdr:colOff>1605643</xdr:colOff>
      <xdr:row>197</xdr:row>
      <xdr:rowOff>86481</xdr:rowOff>
    </xdr:to>
    <xdr:graphicFrame macro="">
      <xdr:nvGraphicFramePr>
        <xdr:cNvPr id="7" name="Chart 6">
          <a:extLst>
            <a:ext uri="{FF2B5EF4-FFF2-40B4-BE49-F238E27FC236}">
              <a16:creationId xmlns:a16="http://schemas.microsoft.com/office/drawing/2014/main" id="{2267DAE7-ED68-944D-ADAB-4A7BD10FD4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71</xdr:col>
      <xdr:colOff>246441</xdr:colOff>
      <xdr:row>182</xdr:row>
      <xdr:rowOff>110067</xdr:rowOff>
    </xdr:from>
    <xdr:to>
      <xdr:col>78</xdr:col>
      <xdr:colOff>585108</xdr:colOff>
      <xdr:row>197</xdr:row>
      <xdr:rowOff>131838</xdr:rowOff>
    </xdr:to>
    <xdr:graphicFrame macro="">
      <xdr:nvGraphicFramePr>
        <xdr:cNvPr id="8" name="Chart 7">
          <a:extLst>
            <a:ext uri="{FF2B5EF4-FFF2-40B4-BE49-F238E27FC236}">
              <a16:creationId xmlns:a16="http://schemas.microsoft.com/office/drawing/2014/main" id="{88140B48-9E26-5BF1-2E5E-060C2FE0E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235186</xdr:colOff>
      <xdr:row>14</xdr:row>
      <xdr:rowOff>0</xdr:rowOff>
    </xdr:from>
    <xdr:to>
      <xdr:col>36</xdr:col>
      <xdr:colOff>486833</xdr:colOff>
      <xdr:row>85</xdr:row>
      <xdr:rowOff>84667</xdr:rowOff>
    </xdr:to>
    <xdr:sp macro="" textlink="">
      <xdr:nvSpPr>
        <xdr:cNvPr id="10" name="Rectangle: Rounded Corners 9">
          <a:extLst>
            <a:ext uri="{FF2B5EF4-FFF2-40B4-BE49-F238E27FC236}">
              <a16:creationId xmlns:a16="http://schemas.microsoft.com/office/drawing/2014/main" id="{8EA4EB56-96A4-9A18-9438-53425B20E137}"/>
            </a:ext>
          </a:extLst>
        </xdr:cNvPr>
        <xdr:cNvSpPr/>
      </xdr:nvSpPr>
      <xdr:spPr>
        <a:xfrm>
          <a:off x="2076686" y="2667000"/>
          <a:ext cx="20508147" cy="1361016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335539</xdr:colOff>
      <xdr:row>28</xdr:row>
      <xdr:rowOff>134146</xdr:rowOff>
    </xdr:from>
    <xdr:to>
      <xdr:col>12</xdr:col>
      <xdr:colOff>583514</xdr:colOff>
      <xdr:row>38</xdr:row>
      <xdr:rowOff>0</xdr:rowOff>
    </xdr:to>
    <xdr:sp macro="" textlink="">
      <xdr:nvSpPr>
        <xdr:cNvPr id="12" name="Rectangle: Rounded Corners 11">
          <a:extLst>
            <a:ext uri="{FF2B5EF4-FFF2-40B4-BE49-F238E27FC236}">
              <a16:creationId xmlns:a16="http://schemas.microsoft.com/office/drawing/2014/main" id="{E8107C13-E8D9-FCB0-663E-CB6205753EBE}"/>
            </a:ext>
          </a:extLst>
        </xdr:cNvPr>
        <xdr:cNvSpPr/>
      </xdr:nvSpPr>
      <xdr:spPr>
        <a:xfrm>
          <a:off x="4042566" y="5420092"/>
          <a:ext cx="3955002" cy="1753692"/>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15294</xdr:colOff>
      <xdr:row>41</xdr:row>
      <xdr:rowOff>123741</xdr:rowOff>
    </xdr:from>
    <xdr:to>
      <xdr:col>34</xdr:col>
      <xdr:colOff>198936</xdr:colOff>
      <xdr:row>61</xdr:row>
      <xdr:rowOff>109801</xdr:rowOff>
    </xdr:to>
    <xdr:sp macro="" textlink="">
      <xdr:nvSpPr>
        <xdr:cNvPr id="26" name="Rectangle: Rounded Corners 25">
          <a:extLst>
            <a:ext uri="{FF2B5EF4-FFF2-40B4-BE49-F238E27FC236}">
              <a16:creationId xmlns:a16="http://schemas.microsoft.com/office/drawing/2014/main" id="{7796C1AB-F942-4041-AA66-ED8B0CA76E3C}"/>
            </a:ext>
          </a:extLst>
        </xdr:cNvPr>
        <xdr:cNvSpPr/>
      </xdr:nvSpPr>
      <xdr:spPr>
        <a:xfrm>
          <a:off x="18550429" y="7863876"/>
          <a:ext cx="2654993" cy="3761736"/>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106788</xdr:colOff>
      <xdr:row>41</xdr:row>
      <xdr:rowOff>162722</xdr:rowOff>
    </xdr:from>
    <xdr:to>
      <xdr:col>20</xdr:col>
      <xdr:colOff>51487</xdr:colOff>
      <xdr:row>60</xdr:row>
      <xdr:rowOff>137295</xdr:rowOff>
    </xdr:to>
    <xdr:sp macro="" textlink="">
      <xdr:nvSpPr>
        <xdr:cNvPr id="28" name="Rectangle: Rounded Corners 27">
          <a:extLst>
            <a:ext uri="{FF2B5EF4-FFF2-40B4-BE49-F238E27FC236}">
              <a16:creationId xmlns:a16="http://schemas.microsoft.com/office/drawing/2014/main" id="{83991C8A-B791-E982-1EBF-DF304E5A1D36}"/>
            </a:ext>
          </a:extLst>
        </xdr:cNvPr>
        <xdr:cNvSpPr/>
      </xdr:nvSpPr>
      <xdr:spPr>
        <a:xfrm>
          <a:off x="6903004" y="7902857"/>
          <a:ext cx="5505240" cy="356146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444283</xdr:colOff>
      <xdr:row>42</xdr:row>
      <xdr:rowOff>134134</xdr:rowOff>
    </xdr:from>
    <xdr:to>
      <xdr:col>19</xdr:col>
      <xdr:colOff>351137</xdr:colOff>
      <xdr:row>59</xdr:row>
      <xdr:rowOff>127344</xdr:rowOff>
    </xdr:to>
    <xdr:graphicFrame macro="">
      <xdr:nvGraphicFramePr>
        <xdr:cNvPr id="29" name="Chart 28">
          <a:extLst>
            <a:ext uri="{FF2B5EF4-FFF2-40B4-BE49-F238E27FC236}">
              <a16:creationId xmlns:a16="http://schemas.microsoft.com/office/drawing/2014/main" id="{93E6FE23-0E27-4853-93E5-2ABB429E0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455728</xdr:colOff>
      <xdr:row>42</xdr:row>
      <xdr:rowOff>2115</xdr:rowOff>
    </xdr:from>
    <xdr:to>
      <xdr:col>29</xdr:col>
      <xdr:colOff>400428</xdr:colOff>
      <xdr:row>60</xdr:row>
      <xdr:rowOff>165472</xdr:rowOff>
    </xdr:to>
    <xdr:sp macro="" textlink="">
      <xdr:nvSpPr>
        <xdr:cNvPr id="30" name="Rectangle: Rounded Corners 29">
          <a:extLst>
            <a:ext uri="{FF2B5EF4-FFF2-40B4-BE49-F238E27FC236}">
              <a16:creationId xmlns:a16="http://schemas.microsoft.com/office/drawing/2014/main" id="{1706DABB-B772-49BF-9026-6333F101EE57}"/>
            </a:ext>
          </a:extLst>
        </xdr:cNvPr>
        <xdr:cNvSpPr/>
      </xdr:nvSpPr>
      <xdr:spPr>
        <a:xfrm>
          <a:off x="12812485" y="7931034"/>
          <a:ext cx="5505240" cy="356146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18676</xdr:colOff>
      <xdr:row>61</xdr:row>
      <xdr:rowOff>169286</xdr:rowOff>
    </xdr:from>
    <xdr:to>
      <xdr:col>22</xdr:col>
      <xdr:colOff>466911</xdr:colOff>
      <xdr:row>81</xdr:row>
      <xdr:rowOff>130736</xdr:rowOff>
    </xdr:to>
    <xdr:sp macro="" textlink="">
      <xdr:nvSpPr>
        <xdr:cNvPr id="34" name="Rectangle: Rounded Corners 33">
          <a:extLst>
            <a:ext uri="{FF2B5EF4-FFF2-40B4-BE49-F238E27FC236}">
              <a16:creationId xmlns:a16="http://schemas.microsoft.com/office/drawing/2014/main" id="{067147AA-5059-42B3-88CF-49FB8AD16392}"/>
            </a:ext>
          </a:extLst>
        </xdr:cNvPr>
        <xdr:cNvSpPr/>
      </xdr:nvSpPr>
      <xdr:spPr>
        <a:xfrm>
          <a:off x="6798235" y="11561933"/>
          <a:ext cx="7227794" cy="3696744"/>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350281</xdr:colOff>
      <xdr:row>63</xdr:row>
      <xdr:rowOff>69022</xdr:rowOff>
    </xdr:from>
    <xdr:to>
      <xdr:col>21</xdr:col>
      <xdr:colOff>560930</xdr:colOff>
      <xdr:row>79</xdr:row>
      <xdr:rowOff>24782</xdr:rowOff>
    </xdr:to>
    <xdr:graphicFrame macro="">
      <xdr:nvGraphicFramePr>
        <xdr:cNvPr id="35" name="Chart 34">
          <a:extLst>
            <a:ext uri="{FF2B5EF4-FFF2-40B4-BE49-F238E27FC236}">
              <a16:creationId xmlns:a16="http://schemas.microsoft.com/office/drawing/2014/main" id="{42647EBE-B389-4754-8918-3838EBA14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254169</xdr:colOff>
      <xdr:row>62</xdr:row>
      <xdr:rowOff>124659</xdr:rowOff>
    </xdr:from>
    <xdr:to>
      <xdr:col>35</xdr:col>
      <xdr:colOff>86080</xdr:colOff>
      <xdr:row>82</xdr:row>
      <xdr:rowOff>86109</xdr:rowOff>
    </xdr:to>
    <xdr:sp macro="" textlink="">
      <xdr:nvSpPr>
        <xdr:cNvPr id="36" name="Rectangle: Rounded Corners 35">
          <a:extLst>
            <a:ext uri="{FF2B5EF4-FFF2-40B4-BE49-F238E27FC236}">
              <a16:creationId xmlns:a16="http://schemas.microsoft.com/office/drawing/2014/main" id="{1DBFB275-97F3-452D-AF5F-E353A42C4416}"/>
            </a:ext>
          </a:extLst>
        </xdr:cNvPr>
        <xdr:cNvSpPr/>
      </xdr:nvSpPr>
      <xdr:spPr>
        <a:xfrm>
          <a:off x="14429610" y="11704071"/>
          <a:ext cx="7227794" cy="3696744"/>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140937</xdr:colOff>
      <xdr:row>41</xdr:row>
      <xdr:rowOff>119812</xdr:rowOff>
    </xdr:from>
    <xdr:to>
      <xdr:col>10</xdr:col>
      <xdr:colOff>324578</xdr:colOff>
      <xdr:row>61</xdr:row>
      <xdr:rowOff>105872</xdr:rowOff>
    </xdr:to>
    <xdr:sp macro="" textlink="">
      <xdr:nvSpPr>
        <xdr:cNvPr id="40" name="Rectangle: Rounded Corners 39">
          <a:extLst>
            <a:ext uri="{FF2B5EF4-FFF2-40B4-BE49-F238E27FC236}">
              <a16:creationId xmlns:a16="http://schemas.microsoft.com/office/drawing/2014/main" id="{78BA972C-5CCB-4651-811D-550654DA125F}"/>
            </a:ext>
          </a:extLst>
        </xdr:cNvPr>
        <xdr:cNvSpPr/>
      </xdr:nvSpPr>
      <xdr:spPr>
        <a:xfrm>
          <a:off x="3750411" y="7656259"/>
          <a:ext cx="2589956" cy="3662376"/>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106483</xdr:colOff>
      <xdr:row>62</xdr:row>
      <xdr:rowOff>26069</xdr:rowOff>
    </xdr:from>
    <xdr:to>
      <xdr:col>10</xdr:col>
      <xdr:colOff>290124</xdr:colOff>
      <xdr:row>82</xdr:row>
      <xdr:rowOff>12130</xdr:rowOff>
    </xdr:to>
    <xdr:sp macro="" textlink="">
      <xdr:nvSpPr>
        <xdr:cNvPr id="44" name="Rectangle: Rounded Corners 43">
          <a:extLst>
            <a:ext uri="{FF2B5EF4-FFF2-40B4-BE49-F238E27FC236}">
              <a16:creationId xmlns:a16="http://schemas.microsoft.com/office/drawing/2014/main" id="{993F7F51-536D-4327-9111-A940E74F8F12}"/>
            </a:ext>
          </a:extLst>
        </xdr:cNvPr>
        <xdr:cNvSpPr/>
      </xdr:nvSpPr>
      <xdr:spPr>
        <a:xfrm>
          <a:off x="3813510" y="11730664"/>
          <a:ext cx="2654992" cy="3761736"/>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281666</xdr:colOff>
      <xdr:row>28</xdr:row>
      <xdr:rowOff>168871</xdr:rowOff>
    </xdr:from>
    <xdr:to>
      <xdr:col>19</xdr:col>
      <xdr:colOff>529641</xdr:colOff>
      <xdr:row>38</xdr:row>
      <xdr:rowOff>34725</xdr:rowOff>
    </xdr:to>
    <xdr:sp macro="" textlink="">
      <xdr:nvSpPr>
        <xdr:cNvPr id="46" name="Rectangle: Rounded Corners 45">
          <a:extLst>
            <a:ext uri="{FF2B5EF4-FFF2-40B4-BE49-F238E27FC236}">
              <a16:creationId xmlns:a16="http://schemas.microsoft.com/office/drawing/2014/main" id="{19698249-7950-4D62-8173-E45DC1409366}"/>
            </a:ext>
          </a:extLst>
        </xdr:cNvPr>
        <xdr:cNvSpPr/>
      </xdr:nvSpPr>
      <xdr:spPr>
        <a:xfrm>
          <a:off x="8313558" y="5454817"/>
          <a:ext cx="3955002" cy="1753692"/>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230180</xdr:colOff>
      <xdr:row>29</xdr:row>
      <xdr:rowOff>14412</xdr:rowOff>
    </xdr:from>
    <xdr:to>
      <xdr:col>26</xdr:col>
      <xdr:colOff>478155</xdr:colOff>
      <xdr:row>38</xdr:row>
      <xdr:rowOff>69050</xdr:rowOff>
    </xdr:to>
    <xdr:sp macro="" textlink="">
      <xdr:nvSpPr>
        <xdr:cNvPr id="47" name="Rectangle: Rounded Corners 46">
          <a:extLst>
            <a:ext uri="{FF2B5EF4-FFF2-40B4-BE49-F238E27FC236}">
              <a16:creationId xmlns:a16="http://schemas.microsoft.com/office/drawing/2014/main" id="{EF3D4C9D-B4AD-4C04-AC25-498D3004E5D6}"/>
            </a:ext>
          </a:extLst>
        </xdr:cNvPr>
        <xdr:cNvSpPr/>
      </xdr:nvSpPr>
      <xdr:spPr>
        <a:xfrm>
          <a:off x="12586937" y="5489142"/>
          <a:ext cx="3955002" cy="1753692"/>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230179</xdr:colOff>
      <xdr:row>29</xdr:row>
      <xdr:rowOff>14412</xdr:rowOff>
    </xdr:from>
    <xdr:to>
      <xdr:col>33</xdr:col>
      <xdr:colOff>478154</xdr:colOff>
      <xdr:row>38</xdr:row>
      <xdr:rowOff>69050</xdr:rowOff>
    </xdr:to>
    <xdr:sp macro="" textlink="">
      <xdr:nvSpPr>
        <xdr:cNvPr id="48" name="Rectangle: Rounded Corners 47">
          <a:extLst>
            <a:ext uri="{FF2B5EF4-FFF2-40B4-BE49-F238E27FC236}">
              <a16:creationId xmlns:a16="http://schemas.microsoft.com/office/drawing/2014/main" id="{353EFAB7-D80D-477A-9286-BC7F9107F9EB}"/>
            </a:ext>
          </a:extLst>
        </xdr:cNvPr>
        <xdr:cNvSpPr/>
      </xdr:nvSpPr>
      <xdr:spPr>
        <a:xfrm>
          <a:off x="16911801" y="5489142"/>
          <a:ext cx="3955002" cy="1753692"/>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34324</xdr:colOff>
      <xdr:row>29</xdr:row>
      <xdr:rowOff>171621</xdr:rowOff>
    </xdr:from>
    <xdr:to>
      <xdr:col>12</xdr:col>
      <xdr:colOff>257432</xdr:colOff>
      <xdr:row>33</xdr:row>
      <xdr:rowOff>34324</xdr:rowOff>
    </xdr:to>
    <xdr:sp macro="" textlink="">
      <xdr:nvSpPr>
        <xdr:cNvPr id="49" name="TextBox 48">
          <a:extLst>
            <a:ext uri="{FF2B5EF4-FFF2-40B4-BE49-F238E27FC236}">
              <a16:creationId xmlns:a16="http://schemas.microsoft.com/office/drawing/2014/main" id="{6AA593C7-0D20-2406-5C27-88B28221238C}"/>
            </a:ext>
          </a:extLst>
        </xdr:cNvPr>
        <xdr:cNvSpPr txBox="1"/>
      </xdr:nvSpPr>
      <xdr:spPr>
        <a:xfrm>
          <a:off x="4359189" y="5646351"/>
          <a:ext cx="3312297" cy="617838"/>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mn-lt"/>
            </a:rPr>
            <a:t>                    </a:t>
          </a:r>
          <a:r>
            <a:rPr lang="en-IN" sz="2500">
              <a:latin typeface="+mn-lt"/>
            </a:rPr>
            <a:t>TOTAL</a:t>
          </a:r>
          <a:r>
            <a:rPr lang="en-IN" sz="2500" baseline="0">
              <a:latin typeface="+mn-lt"/>
            </a:rPr>
            <a:t> CASES</a:t>
          </a:r>
          <a:endParaRPr lang="en-IN" sz="2500">
            <a:latin typeface="+mn-lt"/>
          </a:endParaRPr>
        </a:p>
      </xdr:txBody>
    </xdr:sp>
    <xdr:clientData/>
  </xdr:twoCellAnchor>
  <xdr:twoCellAnchor>
    <xdr:from>
      <xdr:col>7</xdr:col>
      <xdr:colOff>24224</xdr:colOff>
      <xdr:row>33</xdr:row>
      <xdr:rowOff>67891</xdr:rowOff>
    </xdr:from>
    <xdr:to>
      <xdr:col>12</xdr:col>
      <xdr:colOff>247332</xdr:colOff>
      <xdr:row>36</xdr:row>
      <xdr:rowOff>119378</xdr:rowOff>
    </xdr:to>
    <xdr:sp macro="" textlink="ANALYSIS!B2">
      <xdr:nvSpPr>
        <xdr:cNvPr id="50" name="TextBox 49">
          <a:extLst>
            <a:ext uri="{FF2B5EF4-FFF2-40B4-BE49-F238E27FC236}">
              <a16:creationId xmlns:a16="http://schemas.microsoft.com/office/drawing/2014/main" id="{6934F5DA-3766-4BEB-9E6D-0FDE8BD4A762}"/>
            </a:ext>
          </a:extLst>
        </xdr:cNvPr>
        <xdr:cNvSpPr txBox="1"/>
      </xdr:nvSpPr>
      <xdr:spPr>
        <a:xfrm>
          <a:off x="4314166" y="6159461"/>
          <a:ext cx="3287352" cy="605266"/>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D048B4-FFF2-48FD-9166-E1AA6BE67319}" type="TxLink">
            <a:rPr lang="en-US" sz="2500" b="0" i="0" u="none" strike="noStrike">
              <a:solidFill>
                <a:srgbClr val="000000"/>
              </a:solidFill>
              <a:latin typeface="Calibri"/>
              <a:ea typeface="Calibri"/>
              <a:cs typeface="Calibri"/>
            </a:rPr>
            <a:pPr/>
            <a:t>44999085.00</a:t>
          </a:fld>
          <a:endParaRPr lang="en-IN" sz="2500"/>
        </a:p>
      </xdr:txBody>
    </xdr:sp>
    <xdr:clientData/>
  </xdr:twoCellAnchor>
  <xdr:twoCellAnchor>
    <xdr:from>
      <xdr:col>13</xdr:col>
      <xdr:colOff>537039</xdr:colOff>
      <xdr:row>33</xdr:row>
      <xdr:rowOff>98163</xdr:rowOff>
    </xdr:from>
    <xdr:to>
      <xdr:col>19</xdr:col>
      <xdr:colOff>142309</xdr:colOff>
      <xdr:row>36</xdr:row>
      <xdr:rowOff>149650</xdr:rowOff>
    </xdr:to>
    <xdr:sp macro="" textlink="ANALYSIS!C2">
      <xdr:nvSpPr>
        <xdr:cNvPr id="52" name="TextBox 51">
          <a:extLst>
            <a:ext uri="{FF2B5EF4-FFF2-40B4-BE49-F238E27FC236}">
              <a16:creationId xmlns:a16="http://schemas.microsoft.com/office/drawing/2014/main" id="{D6966022-57D1-4174-AEE5-E5880D70DBCA}"/>
            </a:ext>
          </a:extLst>
        </xdr:cNvPr>
        <xdr:cNvSpPr txBox="1"/>
      </xdr:nvSpPr>
      <xdr:spPr>
        <a:xfrm>
          <a:off x="8568931" y="6328028"/>
          <a:ext cx="3312297" cy="617838"/>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30EB5F7-EBB3-4B59-9D09-07CA29607BD5}" type="TxLink">
            <a:rPr lang="en-US" sz="2500" b="0" i="0" u="none" strike="noStrike">
              <a:solidFill>
                <a:srgbClr val="000000"/>
              </a:solidFill>
              <a:latin typeface="Calibri"/>
              <a:ea typeface="Calibri"/>
              <a:cs typeface="Calibri"/>
            </a:rPr>
            <a:pPr/>
            <a:t>532027.00</a:t>
          </a:fld>
          <a:endParaRPr lang="en-IN" sz="2500"/>
        </a:p>
      </xdr:txBody>
    </xdr:sp>
    <xdr:clientData/>
  </xdr:twoCellAnchor>
  <xdr:twoCellAnchor>
    <xdr:from>
      <xdr:col>13</xdr:col>
      <xdr:colOff>539098</xdr:colOff>
      <xdr:row>29</xdr:row>
      <xdr:rowOff>168870</xdr:rowOff>
    </xdr:from>
    <xdr:to>
      <xdr:col>19</xdr:col>
      <xdr:colOff>144368</xdr:colOff>
      <xdr:row>33</xdr:row>
      <xdr:rowOff>31573</xdr:rowOff>
    </xdr:to>
    <xdr:sp macro="" textlink="">
      <xdr:nvSpPr>
        <xdr:cNvPr id="57" name="TextBox 56">
          <a:extLst>
            <a:ext uri="{FF2B5EF4-FFF2-40B4-BE49-F238E27FC236}">
              <a16:creationId xmlns:a16="http://schemas.microsoft.com/office/drawing/2014/main" id="{B6D36B94-8520-4889-8930-D0E0D85D03A9}"/>
            </a:ext>
          </a:extLst>
        </xdr:cNvPr>
        <xdr:cNvSpPr txBox="1"/>
      </xdr:nvSpPr>
      <xdr:spPr>
        <a:xfrm>
          <a:off x="8570990" y="5643600"/>
          <a:ext cx="3312297" cy="617838"/>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500">
              <a:solidFill>
                <a:schemeClr val="dk1"/>
              </a:solidFill>
              <a:effectLst/>
              <a:latin typeface="+mn-lt"/>
              <a:ea typeface="+mn-ea"/>
              <a:cs typeface="+mn-cs"/>
            </a:rPr>
            <a:t>      </a:t>
          </a:r>
          <a:r>
            <a:rPr lang="en-IN" sz="2500" baseline="0">
              <a:solidFill>
                <a:schemeClr val="dk1"/>
              </a:solidFill>
              <a:effectLst/>
              <a:latin typeface="+mn-lt"/>
              <a:ea typeface="+mn-ea"/>
              <a:cs typeface="+mn-cs"/>
            </a:rPr>
            <a:t> </a:t>
          </a:r>
          <a:r>
            <a:rPr lang="en-IN" sz="2500">
              <a:solidFill>
                <a:schemeClr val="dk1"/>
              </a:solidFill>
              <a:effectLst/>
              <a:latin typeface="+mn-lt"/>
              <a:ea typeface="+mn-ea"/>
              <a:cs typeface="+mn-cs"/>
            </a:rPr>
            <a:t>TOTAL</a:t>
          </a:r>
          <a:r>
            <a:rPr lang="en-IN" sz="2500" baseline="0">
              <a:solidFill>
                <a:schemeClr val="dk1"/>
              </a:solidFill>
              <a:effectLst/>
              <a:latin typeface="+mn-lt"/>
              <a:ea typeface="+mn-ea"/>
              <a:cs typeface="+mn-cs"/>
            </a:rPr>
            <a:t> DEATHS</a:t>
          </a:r>
          <a:endParaRPr lang="en-IN" sz="2500">
            <a:latin typeface="+mn-lt"/>
          </a:endParaRPr>
        </a:p>
      </xdr:txBody>
    </xdr:sp>
    <xdr:clientData/>
  </xdr:twoCellAnchor>
  <xdr:twoCellAnchor>
    <xdr:from>
      <xdr:col>20</xdr:col>
      <xdr:colOff>504775</xdr:colOff>
      <xdr:row>29</xdr:row>
      <xdr:rowOff>151709</xdr:rowOff>
    </xdr:from>
    <xdr:to>
      <xdr:col>26</xdr:col>
      <xdr:colOff>110045</xdr:colOff>
      <xdr:row>33</xdr:row>
      <xdr:rowOff>14412</xdr:rowOff>
    </xdr:to>
    <xdr:sp macro="" textlink="">
      <xdr:nvSpPr>
        <xdr:cNvPr id="58" name="TextBox 57">
          <a:extLst>
            <a:ext uri="{FF2B5EF4-FFF2-40B4-BE49-F238E27FC236}">
              <a16:creationId xmlns:a16="http://schemas.microsoft.com/office/drawing/2014/main" id="{146CCE40-EEAB-4637-B513-98D0A7C18444}"/>
            </a:ext>
          </a:extLst>
        </xdr:cNvPr>
        <xdr:cNvSpPr txBox="1"/>
      </xdr:nvSpPr>
      <xdr:spPr>
        <a:xfrm>
          <a:off x="12861532" y="5626439"/>
          <a:ext cx="3312297" cy="617838"/>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500"/>
            <a:t>        NO.OF STATES</a:t>
          </a:r>
        </a:p>
      </xdr:txBody>
    </xdr:sp>
    <xdr:clientData/>
  </xdr:twoCellAnchor>
  <xdr:twoCellAnchor>
    <xdr:from>
      <xdr:col>20</xdr:col>
      <xdr:colOff>504775</xdr:colOff>
      <xdr:row>33</xdr:row>
      <xdr:rowOff>100223</xdr:rowOff>
    </xdr:from>
    <xdr:to>
      <xdr:col>26</xdr:col>
      <xdr:colOff>110045</xdr:colOff>
      <xdr:row>36</xdr:row>
      <xdr:rowOff>151710</xdr:rowOff>
    </xdr:to>
    <xdr:sp macro="" textlink="ANALYSIS!A2">
      <xdr:nvSpPr>
        <xdr:cNvPr id="59" name="TextBox 58">
          <a:extLst>
            <a:ext uri="{FF2B5EF4-FFF2-40B4-BE49-F238E27FC236}">
              <a16:creationId xmlns:a16="http://schemas.microsoft.com/office/drawing/2014/main" id="{6BD5579B-F27E-426D-83D2-4C09A8DB4E28}"/>
            </a:ext>
          </a:extLst>
        </xdr:cNvPr>
        <xdr:cNvSpPr txBox="1"/>
      </xdr:nvSpPr>
      <xdr:spPr>
        <a:xfrm>
          <a:off x="12861532" y="6330088"/>
          <a:ext cx="3312297" cy="617838"/>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9B3997-DA84-4CB7-991B-A0C7DBE7FCDA}" type="TxLink">
            <a:rPr lang="en-US" sz="2500" b="0" i="0" u="none" strike="noStrike">
              <a:solidFill>
                <a:srgbClr val="000000"/>
              </a:solidFill>
              <a:latin typeface="Calibri"/>
              <a:ea typeface="Calibri"/>
              <a:cs typeface="Calibri"/>
            </a:rPr>
            <a:pPr/>
            <a:t>36.00</a:t>
          </a:fld>
          <a:endParaRPr lang="en-IN" sz="2500"/>
        </a:p>
      </xdr:txBody>
    </xdr:sp>
    <xdr:clientData/>
  </xdr:twoCellAnchor>
  <xdr:twoCellAnchor>
    <xdr:from>
      <xdr:col>27</xdr:col>
      <xdr:colOff>470449</xdr:colOff>
      <xdr:row>30</xdr:row>
      <xdr:rowOff>31574</xdr:rowOff>
    </xdr:from>
    <xdr:to>
      <xdr:col>33</xdr:col>
      <xdr:colOff>75719</xdr:colOff>
      <xdr:row>33</xdr:row>
      <xdr:rowOff>11662</xdr:rowOff>
    </xdr:to>
    <xdr:sp macro="" textlink="">
      <xdr:nvSpPr>
        <xdr:cNvPr id="60" name="TextBox 59">
          <a:extLst>
            <a:ext uri="{FF2B5EF4-FFF2-40B4-BE49-F238E27FC236}">
              <a16:creationId xmlns:a16="http://schemas.microsoft.com/office/drawing/2014/main" id="{21DC7B5D-600F-4FDD-A58B-FE8D0FF2E20F}"/>
            </a:ext>
          </a:extLst>
        </xdr:cNvPr>
        <xdr:cNvSpPr txBox="1"/>
      </xdr:nvSpPr>
      <xdr:spPr>
        <a:xfrm>
          <a:off x="17152071" y="5695088"/>
          <a:ext cx="3312297" cy="546439"/>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500"/>
            <a:t>   TOTAL NO.OF ACTIVE</a:t>
          </a:r>
        </a:p>
      </xdr:txBody>
    </xdr:sp>
    <xdr:clientData/>
  </xdr:twoCellAnchor>
  <xdr:twoCellAnchor>
    <xdr:from>
      <xdr:col>27</xdr:col>
      <xdr:colOff>468390</xdr:colOff>
      <xdr:row>33</xdr:row>
      <xdr:rowOff>81001</xdr:rowOff>
    </xdr:from>
    <xdr:to>
      <xdr:col>33</xdr:col>
      <xdr:colOff>73660</xdr:colOff>
      <xdr:row>36</xdr:row>
      <xdr:rowOff>61089</xdr:rowOff>
    </xdr:to>
    <xdr:sp macro="" textlink="ANALYSIS!E2">
      <xdr:nvSpPr>
        <xdr:cNvPr id="61" name="TextBox 60">
          <a:extLst>
            <a:ext uri="{FF2B5EF4-FFF2-40B4-BE49-F238E27FC236}">
              <a16:creationId xmlns:a16="http://schemas.microsoft.com/office/drawing/2014/main" id="{D81C6C00-7434-4C67-BD97-1BC9DA56E0AC}"/>
            </a:ext>
          </a:extLst>
        </xdr:cNvPr>
        <xdr:cNvSpPr txBox="1"/>
      </xdr:nvSpPr>
      <xdr:spPr>
        <a:xfrm>
          <a:off x="17150012" y="6310866"/>
          <a:ext cx="3312297" cy="546439"/>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C7AEC9-E1D5-4546-81DF-B6DEC269EDD5}" type="TxLink">
            <a:rPr lang="en-US" sz="2500" b="0" i="0" u="none" strike="noStrike">
              <a:solidFill>
                <a:srgbClr val="000000"/>
              </a:solidFill>
              <a:latin typeface="Calibri"/>
              <a:ea typeface="Calibri"/>
              <a:cs typeface="Calibri"/>
            </a:rPr>
            <a:pPr/>
            <a:t>1812.00</a:t>
          </a:fld>
          <a:endParaRPr lang="en-IN" sz="2500"/>
        </a:p>
      </xdr:txBody>
    </xdr:sp>
    <xdr:clientData/>
  </xdr:twoCellAnchor>
  <xdr:twoCellAnchor editAs="oneCell">
    <xdr:from>
      <xdr:col>6</xdr:col>
      <xdr:colOff>341463</xdr:colOff>
      <xdr:row>42</xdr:row>
      <xdr:rowOff>169943</xdr:rowOff>
    </xdr:from>
    <xdr:to>
      <xdr:col>10</xdr:col>
      <xdr:colOff>133685</xdr:colOff>
      <xdr:row>60</xdr:row>
      <xdr:rowOff>133685</xdr:rowOff>
    </xdr:to>
    <mc:AlternateContent xmlns:mc="http://schemas.openxmlformats.org/markup-compatibility/2006" xmlns:a14="http://schemas.microsoft.com/office/drawing/2010/main">
      <mc:Choice Requires="a14">
        <xdr:graphicFrame macro="">
          <xdr:nvGraphicFramePr>
            <xdr:cNvPr id="64" name="States 1">
              <a:extLst>
                <a:ext uri="{FF2B5EF4-FFF2-40B4-BE49-F238E27FC236}">
                  <a16:creationId xmlns:a16="http://schemas.microsoft.com/office/drawing/2014/main" id="{186D3917-2261-49B3-9652-7A7FDD54D68D}"/>
                </a:ext>
              </a:extLst>
            </xdr:cNvPr>
            <xdr:cNvGraphicFramePr/>
          </xdr:nvGraphicFramePr>
          <xdr:xfrm>
            <a:off x="0" y="0"/>
            <a:ext cx="0" cy="0"/>
          </xdr:xfrm>
          <a:graphic>
            <a:graphicData uri="http://schemas.microsoft.com/office/drawing/2010/slicer">
              <sle:slicer xmlns:sle="http://schemas.microsoft.com/office/drawing/2010/slicer" name="States 1"/>
            </a:graphicData>
          </a:graphic>
        </xdr:graphicFrame>
      </mc:Choice>
      <mc:Fallback xmlns="">
        <xdr:sp macro="" textlink="">
          <xdr:nvSpPr>
            <xdr:cNvPr id="0" name=""/>
            <xdr:cNvSpPr>
              <a:spLocks noTextEdit="1"/>
            </xdr:cNvSpPr>
          </xdr:nvSpPr>
          <xdr:spPr>
            <a:xfrm>
              <a:off x="4045630" y="7578276"/>
              <a:ext cx="2261666" cy="3138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267369</xdr:colOff>
      <xdr:row>42</xdr:row>
      <xdr:rowOff>110192</xdr:rowOff>
    </xdr:from>
    <xdr:to>
      <xdr:col>34</xdr:col>
      <xdr:colOff>16710</xdr:colOff>
      <xdr:row>59</xdr:row>
      <xdr:rowOff>167104</xdr:rowOff>
    </xdr:to>
    <mc:AlternateContent xmlns:mc="http://schemas.openxmlformats.org/markup-compatibility/2006" xmlns:a14="http://schemas.microsoft.com/office/drawing/2010/main">
      <mc:Choice Requires="a14">
        <xdr:graphicFrame macro="">
          <xdr:nvGraphicFramePr>
            <xdr:cNvPr id="65" name="Region 1">
              <a:extLst>
                <a:ext uri="{FF2B5EF4-FFF2-40B4-BE49-F238E27FC236}">
                  <a16:creationId xmlns:a16="http://schemas.microsoft.com/office/drawing/2014/main" id="{AF0152C3-51D2-4BB8-BDC3-4D1A2938CE5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788202" y="7518525"/>
              <a:ext cx="2218786" cy="30555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187326</xdr:colOff>
      <xdr:row>63</xdr:row>
      <xdr:rowOff>150269</xdr:rowOff>
    </xdr:from>
    <xdr:to>
      <xdr:col>10</xdr:col>
      <xdr:colOff>200527</xdr:colOff>
      <xdr:row>80</xdr:row>
      <xdr:rowOff>116974</xdr:rowOff>
    </xdr:to>
    <mc:AlternateContent xmlns:mc="http://schemas.openxmlformats.org/markup-compatibility/2006" xmlns:a14="http://schemas.microsoft.com/office/drawing/2010/main">
      <mc:Choice Requires="a14">
        <xdr:graphicFrame macro="">
          <xdr:nvGraphicFramePr>
            <xdr:cNvPr id="66" name="Active Ratio 1">
              <a:extLst>
                <a:ext uri="{FF2B5EF4-FFF2-40B4-BE49-F238E27FC236}">
                  <a16:creationId xmlns:a16="http://schemas.microsoft.com/office/drawing/2014/main" id="{A3038141-ABDC-44B6-89C1-DC907C249E5E}"/>
                </a:ext>
              </a:extLst>
            </xdr:cNvPr>
            <xdr:cNvGraphicFramePr/>
          </xdr:nvGraphicFramePr>
          <xdr:xfrm>
            <a:off x="0" y="0"/>
            <a:ext cx="0" cy="0"/>
          </xdr:xfrm>
          <a:graphic>
            <a:graphicData uri="http://schemas.microsoft.com/office/drawing/2010/slicer">
              <sle:slicer xmlns:sle="http://schemas.microsoft.com/office/drawing/2010/slicer" name="Active Ratio 1"/>
            </a:graphicData>
          </a:graphic>
        </xdr:graphicFrame>
      </mc:Choice>
      <mc:Fallback xmlns="">
        <xdr:sp macro="" textlink="">
          <xdr:nvSpPr>
            <xdr:cNvPr id="0" name=""/>
            <xdr:cNvSpPr>
              <a:spLocks noTextEdit="1"/>
            </xdr:cNvSpPr>
          </xdr:nvSpPr>
          <xdr:spPr>
            <a:xfrm>
              <a:off x="3891493" y="11262769"/>
              <a:ext cx="2482645" cy="2965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111056</xdr:colOff>
      <xdr:row>43</xdr:row>
      <xdr:rowOff>14987</xdr:rowOff>
    </xdr:from>
    <xdr:to>
      <xdr:col>29</xdr:col>
      <xdr:colOff>171621</xdr:colOff>
      <xdr:row>59</xdr:row>
      <xdr:rowOff>154459</xdr:rowOff>
    </xdr:to>
    <xdr:graphicFrame macro="">
      <xdr:nvGraphicFramePr>
        <xdr:cNvPr id="2" name="Chart 1">
          <a:extLst>
            <a:ext uri="{FF2B5EF4-FFF2-40B4-BE49-F238E27FC236}">
              <a16:creationId xmlns:a16="http://schemas.microsoft.com/office/drawing/2014/main" id="{B22EC362-53EA-40A9-A9F1-78CF80B42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236803</xdr:colOff>
      <xdr:row>63</xdr:row>
      <xdr:rowOff>140387</xdr:rowOff>
    </xdr:from>
    <xdr:to>
      <xdr:col>34</xdr:col>
      <xdr:colOff>66842</xdr:colOff>
      <xdr:row>81</xdr:row>
      <xdr:rowOff>11140</xdr:rowOff>
    </xdr:to>
    <xdr:graphicFrame macro="">
      <xdr:nvGraphicFramePr>
        <xdr:cNvPr id="5" name="Chart 4">
          <a:extLst>
            <a:ext uri="{FF2B5EF4-FFF2-40B4-BE49-F238E27FC236}">
              <a16:creationId xmlns:a16="http://schemas.microsoft.com/office/drawing/2014/main" id="{D7CE8F89-623E-4C73-AD87-B6ABF77B3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80680</xdr:colOff>
      <xdr:row>30</xdr:row>
      <xdr:rowOff>18235</xdr:rowOff>
    </xdr:from>
    <xdr:to>
      <xdr:col>12</xdr:col>
      <xdr:colOff>34675</xdr:colOff>
      <xdr:row>33</xdr:row>
      <xdr:rowOff>23717</xdr:rowOff>
    </xdr:to>
    <xdr:pic>
      <xdr:nvPicPr>
        <xdr:cNvPr id="8" name="Picture 7">
          <a:extLst>
            <a:ext uri="{FF2B5EF4-FFF2-40B4-BE49-F238E27FC236}">
              <a16:creationId xmlns:a16="http://schemas.microsoft.com/office/drawing/2014/main" id="{CA66592C-6E7E-45AD-B48C-4F987005B7E8}"/>
            </a:ext>
          </a:extLst>
        </xdr:cNvPr>
        <xdr:cNvPicPr>
          <a:picLocks noChangeAspect="1"/>
        </xdr:cNvPicPr>
      </xdr:nvPicPr>
      <xdr:blipFill>
        <a:blip xmlns:r="http://schemas.openxmlformats.org/officeDocument/2006/relationships" r:embed="rId5"/>
        <a:stretch>
          <a:fillRect/>
        </a:stretch>
      </xdr:blipFill>
      <xdr:spPr>
        <a:xfrm rot="21152357">
          <a:off x="6876896" y="5681749"/>
          <a:ext cx="571833" cy="571833"/>
        </a:xfrm>
        <a:prstGeom prst="rect">
          <a:avLst/>
        </a:prstGeom>
      </xdr:spPr>
    </xdr:pic>
    <xdr:clientData/>
  </xdr:twoCellAnchor>
  <xdr:twoCellAnchor editAs="oneCell">
    <xdr:from>
      <xdr:col>6</xdr:col>
      <xdr:colOff>514557</xdr:colOff>
      <xdr:row>29</xdr:row>
      <xdr:rowOff>179687</xdr:rowOff>
    </xdr:from>
    <xdr:to>
      <xdr:col>8</xdr:col>
      <xdr:colOff>284079</xdr:colOff>
      <xdr:row>32</xdr:row>
      <xdr:rowOff>174484</xdr:rowOff>
    </xdr:to>
    <xdr:pic>
      <xdr:nvPicPr>
        <xdr:cNvPr id="9" name="Picture 8">
          <a:extLst>
            <a:ext uri="{FF2B5EF4-FFF2-40B4-BE49-F238E27FC236}">
              <a16:creationId xmlns:a16="http://schemas.microsoft.com/office/drawing/2014/main" id="{582C00F4-E5CB-7A88-CA4C-1422DA5BA76D}"/>
            </a:ext>
          </a:extLst>
        </xdr:cNvPr>
        <xdr:cNvPicPr>
          <a:picLocks noChangeAspect="1"/>
        </xdr:cNvPicPr>
      </xdr:nvPicPr>
      <xdr:blipFill>
        <a:blip xmlns:r="http://schemas.openxmlformats.org/officeDocument/2006/relationships" r:embed="rId6"/>
        <a:stretch>
          <a:fillRect/>
        </a:stretch>
      </xdr:blipFill>
      <xdr:spPr>
        <a:xfrm>
          <a:off x="4124031" y="5510345"/>
          <a:ext cx="972680" cy="546244"/>
        </a:xfrm>
        <a:prstGeom prst="rect">
          <a:avLst/>
        </a:prstGeom>
      </xdr:spPr>
    </xdr:pic>
    <xdr:clientData/>
  </xdr:twoCellAnchor>
  <xdr:twoCellAnchor>
    <xdr:from>
      <xdr:col>6</xdr:col>
      <xdr:colOff>467894</xdr:colOff>
      <xdr:row>17</xdr:row>
      <xdr:rowOff>133685</xdr:rowOff>
    </xdr:from>
    <xdr:to>
      <xdr:col>32</xdr:col>
      <xdr:colOff>484605</xdr:colOff>
      <xdr:row>26</xdr:row>
      <xdr:rowOff>133684</xdr:rowOff>
    </xdr:to>
    <xdr:sp macro="" textlink="">
      <xdr:nvSpPr>
        <xdr:cNvPr id="11" name="Rectangle: Rounded Corners 10">
          <a:extLst>
            <a:ext uri="{FF2B5EF4-FFF2-40B4-BE49-F238E27FC236}">
              <a16:creationId xmlns:a16="http://schemas.microsoft.com/office/drawing/2014/main" id="{440D6379-755D-3359-4C4F-243422CA400A}"/>
            </a:ext>
          </a:extLst>
        </xdr:cNvPr>
        <xdr:cNvSpPr/>
      </xdr:nvSpPr>
      <xdr:spPr>
        <a:xfrm>
          <a:off x="4077368" y="3258553"/>
          <a:ext cx="15657763" cy="1654342"/>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7000">
              <a:latin typeface="+mn-lt"/>
            </a:rPr>
            <a:t>     C</a:t>
          </a:r>
          <a:r>
            <a:rPr lang="en-IN" sz="7000" baseline="0">
              <a:latin typeface="+mn-lt"/>
            </a:rPr>
            <a:t> </a:t>
          </a:r>
          <a:r>
            <a:rPr lang="en-IN" sz="7000">
              <a:latin typeface="+mn-lt"/>
            </a:rPr>
            <a:t>   VID -19 ANALYSIS DASHBOARD</a:t>
          </a:r>
        </a:p>
      </xdr:txBody>
    </xdr:sp>
    <xdr:clientData/>
  </xdr:twoCellAnchor>
  <xdr:twoCellAnchor editAs="oneCell">
    <xdr:from>
      <xdr:col>9</xdr:col>
      <xdr:colOff>167104</xdr:colOff>
      <xdr:row>19</xdr:row>
      <xdr:rowOff>133684</xdr:rowOff>
    </xdr:from>
    <xdr:to>
      <xdr:col>11</xdr:col>
      <xdr:colOff>154184</xdr:colOff>
      <xdr:row>23</xdr:row>
      <xdr:rowOff>66842</xdr:rowOff>
    </xdr:to>
    <xdr:pic>
      <xdr:nvPicPr>
        <xdr:cNvPr id="13" name="Picture 12">
          <a:extLst>
            <a:ext uri="{FF2B5EF4-FFF2-40B4-BE49-F238E27FC236}">
              <a16:creationId xmlns:a16="http://schemas.microsoft.com/office/drawing/2014/main" id="{A6E6294F-2F6A-4E74-838C-6506E855D039}"/>
            </a:ext>
          </a:extLst>
        </xdr:cNvPr>
        <xdr:cNvPicPr>
          <a:picLocks noChangeAspect="1"/>
        </xdr:cNvPicPr>
      </xdr:nvPicPr>
      <xdr:blipFill>
        <a:blip xmlns:r="http://schemas.openxmlformats.org/officeDocument/2006/relationships" r:embed="rId6"/>
        <a:stretch>
          <a:fillRect/>
        </a:stretch>
      </xdr:blipFill>
      <xdr:spPr>
        <a:xfrm>
          <a:off x="5581315" y="3626184"/>
          <a:ext cx="1190237" cy="668421"/>
        </a:xfrm>
        <a:prstGeom prst="rect">
          <a:avLst/>
        </a:prstGeom>
      </xdr:spPr>
    </xdr:pic>
    <xdr:clientData/>
  </xdr:twoCellAnchor>
  <xdr:twoCellAnchor editAs="oneCell">
    <xdr:from>
      <xdr:col>28</xdr:col>
      <xdr:colOff>518027</xdr:colOff>
      <xdr:row>18</xdr:row>
      <xdr:rowOff>133686</xdr:rowOff>
    </xdr:from>
    <xdr:to>
      <xdr:col>33</xdr:col>
      <xdr:colOff>63467</xdr:colOff>
      <xdr:row>26</xdr:row>
      <xdr:rowOff>100263</xdr:rowOff>
    </xdr:to>
    <xdr:pic>
      <xdr:nvPicPr>
        <xdr:cNvPr id="14" name="Picture 13">
          <a:extLst>
            <a:ext uri="{FF2B5EF4-FFF2-40B4-BE49-F238E27FC236}">
              <a16:creationId xmlns:a16="http://schemas.microsoft.com/office/drawing/2014/main" id="{621979BF-A6AC-2266-66DE-BCF60C3C33A1}"/>
            </a:ext>
          </a:extLst>
        </xdr:cNvPr>
        <xdr:cNvPicPr>
          <a:picLocks noChangeAspect="1"/>
        </xdr:cNvPicPr>
      </xdr:nvPicPr>
      <xdr:blipFill>
        <a:blip xmlns:r="http://schemas.openxmlformats.org/officeDocument/2006/relationships" r:embed="rId7"/>
        <a:stretch>
          <a:fillRect/>
        </a:stretch>
      </xdr:blipFill>
      <xdr:spPr>
        <a:xfrm>
          <a:off x="17362238" y="3442370"/>
          <a:ext cx="2553334" cy="143710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galapalli rahul" refreshedDate="46240.726536458336" createdVersion="8" refreshedVersion="8" minRefreshableVersion="3" recordCount="36" xr:uid="{0E8E3C32-A395-4551-BF7A-EE2BF9E059AB}">
  <cacheSource type="worksheet">
    <worksheetSource name="COVID"/>
  </cacheSource>
  <cacheFields count="10">
    <cacheField name="States" numFmtId="0">
      <sharedItems count="36">
        <s v="Andaman and Nicobar"/>
        <s v="Andhra Pradesh"/>
        <s v="Arunachal Pradesh"/>
        <s v="Assam"/>
        <s v="Bihar"/>
        <s v="Chandigarh"/>
        <s v="Chhattisgarh"/>
        <s v="Dadra and Nagar Haveli and 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Region" numFmtId="0">
      <sharedItems count="7">
        <s v="Islands"/>
        <s v="South"/>
        <s v="North East"/>
        <s v="East"/>
        <s v="North"/>
        <s v="Central"/>
        <s v="West"/>
      </sharedItems>
    </cacheField>
    <cacheField name="Total Cases" numFmtId="0">
      <sharedItems containsSemiMixedTypes="0" containsString="0" containsNumber="1" containsInteger="1" minValue="10766" maxValue="8171048"/>
    </cacheField>
    <cacheField name="Active" numFmtId="0">
      <sharedItems containsSemiMixedTypes="0" containsString="0" containsNumber="1" containsInteger="1" minValue="0" maxValue="1233" count="16">
        <n v="0"/>
        <n v="5"/>
        <n v="1"/>
        <n v="14"/>
        <n v="3"/>
        <n v="27"/>
        <n v="4"/>
        <n v="12"/>
        <n v="18"/>
        <n v="214"/>
        <n v="59"/>
        <n v="1233"/>
        <n v="2"/>
        <n v="8"/>
        <n v="57"/>
        <n v="135"/>
      </sharedItems>
    </cacheField>
    <cacheField name="Discharged" numFmtId="0">
      <sharedItems containsSemiMixedTypes="0" containsString="0" containsNumber="1" containsInteger="1" minValue="10637" maxValue="8022276"/>
    </cacheField>
    <cacheField name="Deaths" numFmtId="0">
      <sharedItems containsSemiMixedTypes="0" containsString="0" containsNumber="1" containsInteger="1" minValue="4" maxValue="148558"/>
    </cacheField>
    <cacheField name="Active Ratio" numFmtId="0">
      <sharedItems containsSemiMixedTypes="0" containsString="0" containsNumber="1" minValue="0" maxValue="0.16" count="3">
        <n v="0"/>
        <n v="0.16"/>
        <n v="0.01"/>
      </sharedItems>
    </cacheField>
    <cacheField name="Discharge Ratio" numFmtId="0">
      <sharedItems containsSemiMixedTypes="0" containsString="0" containsNumber="1" minValue="97.41" maxValue="99.97"/>
    </cacheField>
    <cacheField name="Death Ratio" numFmtId="0">
      <sharedItems containsSemiMixedTypes="0" containsString="0" containsNumber="1" minValue="0.03" maxValue="2.44"/>
    </cacheField>
    <cacheField name="Population" numFmtId="0">
      <sharedItems containsSemiMixedTypes="0" containsString="0" containsNumber="1" containsInteger="1" minValue="66001" maxValue="231502578"/>
    </cacheField>
  </cacheFields>
  <extLst>
    <ext xmlns:x14="http://schemas.microsoft.com/office/spreadsheetml/2009/9/main" uri="{725AE2AE-9491-48be-B2B4-4EB974FC3084}">
      <x14:pivotCacheDefinition pivotCacheId="15674562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10766"/>
    <x v="0"/>
    <n v="10637"/>
    <n v="129"/>
    <x v="0"/>
    <n v="98.8"/>
    <n v="1.2"/>
    <n v="100896618"/>
  </r>
  <r>
    <x v="1"/>
    <x v="1"/>
    <n v="2340676"/>
    <x v="0"/>
    <n v="2325943"/>
    <n v="14733"/>
    <x v="0"/>
    <n v="99.37"/>
    <n v="0.63"/>
    <n v="128500364"/>
  </r>
  <r>
    <x v="2"/>
    <x v="2"/>
    <n v="67049"/>
    <x v="0"/>
    <n v="66753"/>
    <n v="296"/>
    <x v="0"/>
    <n v="99.56"/>
    <n v="0.44"/>
    <n v="658019"/>
  </r>
  <r>
    <x v="3"/>
    <x v="2"/>
    <n v="746159"/>
    <x v="1"/>
    <n v="738119"/>
    <n v="8035"/>
    <x v="0"/>
    <n v="98.92"/>
    <n v="1.08"/>
    <n v="290492"/>
  </r>
  <r>
    <x v="4"/>
    <x v="3"/>
    <n v="855267"/>
    <x v="2"/>
    <n v="842952"/>
    <n v="12314"/>
    <x v="0"/>
    <n v="98.56"/>
    <n v="1.44"/>
    <n v="40100376"/>
  </r>
  <r>
    <x v="5"/>
    <x v="4"/>
    <n v="100693"/>
    <x v="0"/>
    <n v="99508"/>
    <n v="1185"/>
    <x v="0"/>
    <n v="98.82"/>
    <n v="1.18"/>
    <n v="30501026"/>
  </r>
  <r>
    <x v="6"/>
    <x v="5"/>
    <n v="1187695"/>
    <x v="0"/>
    <n v="1173505"/>
    <n v="14190"/>
    <x v="0"/>
    <n v="98.81"/>
    <n v="1.19"/>
    <n v="28900667"/>
  </r>
  <r>
    <x v="7"/>
    <x v="6"/>
    <n v="11592"/>
    <x v="0"/>
    <n v="11588"/>
    <n v="4"/>
    <x v="0"/>
    <n v="99.97"/>
    <n v="0.03"/>
    <n v="231502578"/>
  </r>
  <r>
    <x v="8"/>
    <x v="4"/>
    <n v="2040910"/>
    <x v="3"/>
    <n v="2014230"/>
    <n v="26666"/>
    <x v="0"/>
    <n v="98.69"/>
    <n v="1.31"/>
    <n v="773997"/>
  </r>
  <r>
    <x v="9"/>
    <x v="6"/>
    <n v="263346"/>
    <x v="4"/>
    <n v="259329"/>
    <n v="4014"/>
    <x v="0"/>
    <n v="98.47"/>
    <n v="1.52"/>
    <n v="3772103"/>
  </r>
  <r>
    <x v="10"/>
    <x v="6"/>
    <n v="1291383"/>
    <x v="1"/>
    <n v="1280299"/>
    <n v="11079"/>
    <x v="0"/>
    <n v="99.14"/>
    <n v="0.86"/>
    <n v="70400153"/>
  </r>
  <r>
    <x v="11"/>
    <x v="4"/>
    <n v="1078903"/>
    <x v="5"/>
    <n v="1068121"/>
    <n v="10755"/>
    <x v="0"/>
    <n v="99"/>
    <n v="1"/>
    <n v="7503010"/>
  </r>
  <r>
    <x v="12"/>
    <x v="4"/>
    <n v="322905"/>
    <x v="6"/>
    <n v="318660"/>
    <n v="4241"/>
    <x v="0"/>
    <n v="98.69"/>
    <n v="1.31"/>
    <n v="3436948"/>
  </r>
  <r>
    <x v="13"/>
    <x v="4"/>
    <n v="482023"/>
    <x v="0"/>
    <n v="477231"/>
    <n v="4792"/>
    <x v="0"/>
    <n v="99.01"/>
    <n v="0.99"/>
    <n v="66001"/>
  </r>
  <r>
    <x v="14"/>
    <x v="3"/>
    <n v="443826"/>
    <x v="2"/>
    <n v="438491"/>
    <n v="5334"/>
    <x v="0"/>
    <n v="98.8"/>
    <n v="1.2"/>
    <n v="124904071"/>
  </r>
  <r>
    <x v="15"/>
    <x v="1"/>
    <n v="4088769"/>
    <x v="7"/>
    <n v="4048399"/>
    <n v="40358"/>
    <x v="0"/>
    <n v="99.01"/>
    <n v="0.99"/>
    <n v="1711947"/>
  </r>
  <r>
    <x v="16"/>
    <x v="1"/>
    <n v="6907241"/>
    <x v="8"/>
    <n v="6835181"/>
    <n v="72042"/>
    <x v="0"/>
    <n v="98.96"/>
    <n v="1.04"/>
    <n v="91702478"/>
  </r>
  <r>
    <x v="17"/>
    <x v="4"/>
    <n v="29602"/>
    <x v="0"/>
    <n v="29371"/>
    <n v="231"/>
    <x v="0"/>
    <n v="99.22"/>
    <n v="0.78"/>
    <n v="4184959"/>
  </r>
  <r>
    <x v="18"/>
    <x v="0"/>
    <n v="11415"/>
    <x v="0"/>
    <n v="11363"/>
    <n v="52"/>
    <x v="0"/>
    <n v="99.54"/>
    <n v="0.46"/>
    <n v="11700099"/>
  </r>
  <r>
    <x v="19"/>
    <x v="5"/>
    <n v="1056351"/>
    <x v="0"/>
    <n v="1045565"/>
    <n v="10786"/>
    <x v="0"/>
    <n v="98.98"/>
    <n v="1.02"/>
    <n v="14999397"/>
  </r>
  <r>
    <x v="20"/>
    <x v="6"/>
    <n v="8171048"/>
    <x v="9"/>
    <n v="8022276"/>
    <n v="148558"/>
    <x v="0"/>
    <n v="98.18"/>
    <n v="1.82"/>
    <n v="399001"/>
  </r>
  <r>
    <x v="21"/>
    <x v="2"/>
    <n v="140034"/>
    <x v="0"/>
    <n v="137885"/>
    <n v="2149"/>
    <x v="0"/>
    <n v="98.47"/>
    <n v="1.53"/>
    <n v="47099270"/>
  </r>
  <r>
    <x v="22"/>
    <x v="2"/>
    <n v="96983"/>
    <x v="4"/>
    <n v="95352"/>
    <n v="1628"/>
    <x v="0"/>
    <n v="98.32"/>
    <n v="1.68"/>
    <n v="79502477"/>
  </r>
  <r>
    <x v="23"/>
    <x v="2"/>
    <n v="239560"/>
    <x v="2"/>
    <n v="238825"/>
    <n v="734"/>
    <x v="0"/>
    <n v="99.69"/>
    <n v="0.31"/>
    <n v="1308967"/>
  </r>
  <r>
    <x v="24"/>
    <x v="2"/>
    <n v="36033"/>
    <x v="0"/>
    <n v="35251"/>
    <n v="782"/>
    <x v="0"/>
    <n v="97.83"/>
    <n v="2.17"/>
    <n v="38157311"/>
  </r>
  <r>
    <x v="25"/>
    <x v="3"/>
    <n v="1348409"/>
    <x v="10"/>
    <n v="1339135"/>
    <n v="9215"/>
    <x v="0"/>
    <n v="99.31"/>
    <n v="0.68"/>
    <n v="19301096"/>
  </r>
  <r>
    <x v="26"/>
    <x v="1"/>
    <n v="177547"/>
    <x v="0"/>
    <n v="175566"/>
    <n v="1981"/>
    <x v="0"/>
    <n v="98.88"/>
    <n v="1.1200000000000001"/>
    <n v="2073074"/>
  </r>
  <r>
    <x v="27"/>
    <x v="4"/>
    <n v="793644"/>
    <x v="11"/>
    <n v="773073"/>
    <n v="19338"/>
    <x v="1"/>
    <n v="97.41"/>
    <n v="2.44"/>
    <n v="34698876"/>
  </r>
  <r>
    <x v="28"/>
    <x v="4"/>
    <n v="1326465"/>
    <x v="12"/>
    <n v="1316727"/>
    <n v="9736"/>
    <x v="0"/>
    <n v="99.27"/>
    <n v="0.73"/>
    <n v="1521992"/>
  </r>
  <r>
    <x v="29"/>
    <x v="2"/>
    <n v="44927"/>
    <x v="6"/>
    <n v="44422"/>
    <n v="501"/>
    <x v="2"/>
    <n v="98.88"/>
    <n v="1.1200000000000001"/>
    <n v="83697770"/>
  </r>
  <r>
    <x v="30"/>
    <x v="1"/>
    <n v="3610655"/>
    <x v="1"/>
    <n v="3572569"/>
    <n v="38081"/>
    <x v="0"/>
    <n v="98.95"/>
    <n v="1.05"/>
    <n v="35998752"/>
  </r>
  <r>
    <x v="31"/>
    <x v="1"/>
    <n v="844432"/>
    <x v="13"/>
    <n v="840313"/>
    <n v="4111"/>
    <x v="0"/>
    <n v="99.51"/>
    <n v="0.49"/>
    <n v="69599762"/>
  </r>
  <r>
    <x v="32"/>
    <x v="2"/>
    <n v="108493"/>
    <x v="2"/>
    <n v="107550"/>
    <n v="942"/>
    <x v="0"/>
    <n v="99.13"/>
    <n v="0.87"/>
    <n v="1646050"/>
  </r>
  <r>
    <x v="33"/>
    <x v="4"/>
    <n v="2145431"/>
    <x v="14"/>
    <n v="2121662"/>
    <n v="23712"/>
    <x v="0"/>
    <n v="98.89"/>
    <n v="1.1100000000000001"/>
    <n v="1158040"/>
  </r>
  <r>
    <x v="34"/>
    <x v="4"/>
    <n v="452571"/>
    <x v="0"/>
    <n v="444803"/>
    <n v="7768"/>
    <x v="0"/>
    <n v="98.28"/>
    <n v="1.72"/>
    <n v="85002417"/>
  </r>
  <r>
    <x v="35"/>
    <x v="3"/>
    <n v="2126282"/>
    <x v="15"/>
    <n v="2104592"/>
    <n v="21555"/>
    <x v="2"/>
    <n v="98.98"/>
    <n v="1.01"/>
    <n v="321997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B1B580-AB9E-45C4-AC20-53626DA6B28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J187:AK224" firstHeaderRow="1" firstDataRow="1" firstDataCol="1"/>
  <pivotFields count="10">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8">
        <item x="5"/>
        <item x="3"/>
        <item x="0"/>
        <item x="4"/>
        <item x="2"/>
        <item x="1"/>
        <item x="6"/>
        <item t="default"/>
      </items>
    </pivotField>
    <pivotField showAll="0"/>
    <pivotField showAll="0">
      <items count="17">
        <item x="0"/>
        <item x="2"/>
        <item x="12"/>
        <item x="4"/>
        <item x="6"/>
        <item x="1"/>
        <item x="13"/>
        <item x="7"/>
        <item x="3"/>
        <item x="8"/>
        <item x="5"/>
        <item x="14"/>
        <item x="10"/>
        <item x="15"/>
        <item x="9"/>
        <item x="11"/>
        <item t="default"/>
      </items>
    </pivotField>
    <pivotField showAll="0"/>
    <pivotField dataField="1" showAll="0"/>
    <pivotField showAll="0">
      <items count="4">
        <item x="0"/>
        <item x="2"/>
        <item x="1"/>
        <item t="default"/>
      </items>
    </pivotField>
    <pivotField showAll="0"/>
    <pivotField showAll="0"/>
    <pivotField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Deaths"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BB7D66-F8A5-4C83-89C8-73FEEE2C0D6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5:B42" firstHeaderRow="1" firstDataRow="1" firstDataCol="1"/>
  <pivotFields count="10">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8">
        <item x="5"/>
        <item x="3"/>
        <item x="0"/>
        <item x="4"/>
        <item x="2"/>
        <item x="1"/>
        <item x="6"/>
        <item t="default"/>
      </items>
    </pivotField>
    <pivotField dataField="1" showAll="0"/>
    <pivotField showAll="0">
      <items count="17">
        <item x="0"/>
        <item x="2"/>
        <item x="12"/>
        <item x="4"/>
        <item x="6"/>
        <item x="1"/>
        <item x="13"/>
        <item x="7"/>
        <item x="3"/>
        <item x="8"/>
        <item x="5"/>
        <item x="14"/>
        <item x="10"/>
        <item x="15"/>
        <item x="9"/>
        <item x="11"/>
        <item t="default"/>
      </items>
    </pivotField>
    <pivotField showAll="0"/>
    <pivotField showAll="0"/>
    <pivotField showAll="0">
      <items count="4">
        <item x="0"/>
        <item x="2"/>
        <item x="1"/>
        <item t="default"/>
      </items>
    </pivotField>
    <pivotField showAll="0"/>
    <pivotField showAll="0"/>
    <pivotField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Total Cases" fld="2" baseField="0" baseItem="0"/>
  </dataFields>
  <chartFormats count="2">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8D06CB-CE66-4752-B874-1C1705ACA37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BN186:BP194" firstHeaderRow="0" firstDataRow="1" firstDataCol="1"/>
  <pivotFields count="10">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Row" showAll="0">
      <items count="8">
        <item x="5"/>
        <item x="3"/>
        <item x="0"/>
        <item x="4"/>
        <item x="2"/>
        <item x="1"/>
        <item x="6"/>
        <item t="default"/>
      </items>
    </pivotField>
    <pivotField dataField="1" showAll="0"/>
    <pivotField showAll="0">
      <items count="17">
        <item x="0"/>
        <item x="2"/>
        <item x="12"/>
        <item x="4"/>
        <item x="6"/>
        <item x="1"/>
        <item x="13"/>
        <item x="7"/>
        <item x="3"/>
        <item x="8"/>
        <item x="5"/>
        <item x="14"/>
        <item x="10"/>
        <item x="15"/>
        <item x="9"/>
        <item x="11"/>
        <item t="default"/>
      </items>
    </pivotField>
    <pivotField showAll="0"/>
    <pivotField showAll="0"/>
    <pivotField showAll="0">
      <items count="4">
        <item x="0"/>
        <item x="2"/>
        <item x="1"/>
        <item t="default"/>
      </items>
    </pivotField>
    <pivotField showAll="0"/>
    <pivotField showAll="0"/>
    <pivotField dataField="1" showAll="0"/>
  </pivotFields>
  <rowFields count="1">
    <field x="1"/>
  </rowFields>
  <rowItems count="8">
    <i>
      <x/>
    </i>
    <i>
      <x v="1"/>
    </i>
    <i>
      <x v="2"/>
    </i>
    <i>
      <x v="3"/>
    </i>
    <i>
      <x v="4"/>
    </i>
    <i>
      <x v="5"/>
    </i>
    <i>
      <x v="6"/>
    </i>
    <i t="grand">
      <x/>
    </i>
  </rowItems>
  <colFields count="1">
    <field x="-2"/>
  </colFields>
  <colItems count="2">
    <i>
      <x/>
    </i>
    <i i="1">
      <x v="1"/>
    </i>
  </colItems>
  <dataFields count="2">
    <dataField name="Sum of Total Cases" fld="2" baseField="0" baseItem="0"/>
    <dataField name="Sum of Population" fld="9" baseField="0" baseItem="0"/>
  </dataFields>
  <chartFormats count="6">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5" format="4"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A1016A-978D-43F7-BD9E-A84ACD14C68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62:B199" firstHeaderRow="1" firstDataRow="1" firstDataCol="1"/>
  <pivotFields count="10">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8">
        <item x="5"/>
        <item x="3"/>
        <item x="0"/>
        <item x="4"/>
        <item x="2"/>
        <item x="1"/>
        <item x="6"/>
        <item t="default"/>
      </items>
    </pivotField>
    <pivotField dataField="1" showAll="0"/>
    <pivotField showAll="0">
      <items count="17">
        <item x="0"/>
        <item x="2"/>
        <item x="12"/>
        <item x="4"/>
        <item x="6"/>
        <item x="1"/>
        <item x="13"/>
        <item x="7"/>
        <item x="3"/>
        <item x="8"/>
        <item x="5"/>
        <item x="14"/>
        <item x="10"/>
        <item x="15"/>
        <item x="9"/>
        <item x="11"/>
        <item t="default"/>
      </items>
    </pivotField>
    <pivotField showAll="0"/>
    <pivotField showAll="0"/>
    <pivotField showAll="0">
      <items count="4">
        <item x="0"/>
        <item x="2"/>
        <item x="1"/>
        <item t="default"/>
      </items>
    </pivotField>
    <pivotField showAll="0"/>
    <pivotField showAll="0"/>
    <pivotField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Total Cases" fld="2" baseField="0" baseItem="0"/>
  </dataFields>
  <chartFormats count="2">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54537B-2D5C-485F-9F76-64CD85508B5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H116:BI124" firstHeaderRow="1" firstDataRow="1" firstDataCol="1"/>
  <pivotFields count="10">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Row" showAll="0">
      <items count="8">
        <item x="5"/>
        <item x="3"/>
        <item x="0"/>
        <item x="4"/>
        <item x="2"/>
        <item x="1"/>
        <item x="6"/>
        <item t="default"/>
      </items>
    </pivotField>
    <pivotField showAll="0"/>
    <pivotField showAll="0">
      <items count="17">
        <item x="0"/>
        <item x="2"/>
        <item x="12"/>
        <item x="4"/>
        <item x="6"/>
        <item x="1"/>
        <item x="13"/>
        <item x="7"/>
        <item x="3"/>
        <item x="8"/>
        <item x="5"/>
        <item x="14"/>
        <item x="10"/>
        <item x="15"/>
        <item x="9"/>
        <item x="11"/>
        <item t="default"/>
      </items>
    </pivotField>
    <pivotField showAll="0"/>
    <pivotField showAll="0"/>
    <pivotField showAll="0">
      <items count="4">
        <item x="0"/>
        <item x="2"/>
        <item x="1"/>
        <item t="default"/>
      </items>
    </pivotField>
    <pivotField showAll="0"/>
    <pivotField dataField="1" showAll="0"/>
    <pivotField showAll="0"/>
  </pivotFields>
  <rowFields count="1">
    <field x="1"/>
  </rowFields>
  <rowItems count="8">
    <i>
      <x/>
    </i>
    <i>
      <x v="1"/>
    </i>
    <i>
      <x v="2"/>
    </i>
    <i>
      <x v="3"/>
    </i>
    <i>
      <x v="4"/>
    </i>
    <i>
      <x v="5"/>
    </i>
    <i>
      <x v="6"/>
    </i>
    <i t="grand">
      <x/>
    </i>
  </rowItems>
  <colItems count="1">
    <i/>
  </colItems>
  <dataFields count="1">
    <dataField name="Sum of Death Ratio" fld="8" baseField="0" baseItem="0"/>
  </dataFields>
  <chartFormats count="16">
    <chartFormat chart="16" format="0"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 chart="19" format="10">
      <pivotArea type="data" outline="0" fieldPosition="0">
        <references count="2">
          <reference field="4294967294" count="1" selected="0">
            <x v="0"/>
          </reference>
          <reference field="1" count="1" selected="0">
            <x v="0"/>
          </reference>
        </references>
      </pivotArea>
    </chartFormat>
    <chartFormat chart="19" format="11">
      <pivotArea type="data" outline="0" fieldPosition="0">
        <references count="2">
          <reference field="4294967294" count="1" selected="0">
            <x v="0"/>
          </reference>
          <reference field="1" count="1" selected="0">
            <x v="1"/>
          </reference>
        </references>
      </pivotArea>
    </chartFormat>
    <chartFormat chart="19" format="12">
      <pivotArea type="data" outline="0" fieldPosition="0">
        <references count="2">
          <reference field="4294967294" count="1" selected="0">
            <x v="0"/>
          </reference>
          <reference field="1" count="1" selected="0">
            <x v="2"/>
          </reference>
        </references>
      </pivotArea>
    </chartFormat>
    <chartFormat chart="19" format="13">
      <pivotArea type="data" outline="0" fieldPosition="0">
        <references count="2">
          <reference field="4294967294" count="1" selected="0">
            <x v="0"/>
          </reference>
          <reference field="1" count="1" selected="0">
            <x v="3"/>
          </reference>
        </references>
      </pivotArea>
    </chartFormat>
    <chartFormat chart="19" format="14">
      <pivotArea type="data" outline="0" fieldPosition="0">
        <references count="2">
          <reference field="4294967294" count="1" selected="0">
            <x v="0"/>
          </reference>
          <reference field="1" count="1" selected="0">
            <x v="4"/>
          </reference>
        </references>
      </pivotArea>
    </chartFormat>
    <chartFormat chart="19" format="15">
      <pivotArea type="data" outline="0" fieldPosition="0">
        <references count="2">
          <reference field="4294967294" count="1" selected="0">
            <x v="0"/>
          </reference>
          <reference field="1" count="1" selected="0">
            <x v="5"/>
          </reference>
        </references>
      </pivotArea>
    </chartFormat>
    <chartFormat chart="19" format="16">
      <pivotArea type="data" outline="0" fieldPosition="0">
        <references count="2">
          <reference field="4294967294" count="1" selected="0">
            <x v="0"/>
          </reference>
          <reference field="1" count="1" selected="0">
            <x v="6"/>
          </reference>
        </references>
      </pivotArea>
    </chartFormat>
    <chartFormat chart="16" format="1">
      <pivotArea type="data" outline="0" fieldPosition="0">
        <references count="2">
          <reference field="4294967294" count="1" selected="0">
            <x v="0"/>
          </reference>
          <reference field="1" count="1" selected="0">
            <x v="0"/>
          </reference>
        </references>
      </pivotArea>
    </chartFormat>
    <chartFormat chart="16" format="2">
      <pivotArea type="data" outline="0" fieldPosition="0">
        <references count="2">
          <reference field="4294967294" count="1" selected="0">
            <x v="0"/>
          </reference>
          <reference field="1" count="1" selected="0">
            <x v="1"/>
          </reference>
        </references>
      </pivotArea>
    </chartFormat>
    <chartFormat chart="16" format="3">
      <pivotArea type="data" outline="0" fieldPosition="0">
        <references count="2">
          <reference field="4294967294" count="1" selected="0">
            <x v="0"/>
          </reference>
          <reference field="1" count="1" selected="0">
            <x v="2"/>
          </reference>
        </references>
      </pivotArea>
    </chartFormat>
    <chartFormat chart="16" format="4">
      <pivotArea type="data" outline="0" fieldPosition="0">
        <references count="2">
          <reference field="4294967294" count="1" selected="0">
            <x v="0"/>
          </reference>
          <reference field="1" count="1" selected="0">
            <x v="3"/>
          </reference>
        </references>
      </pivotArea>
    </chartFormat>
    <chartFormat chart="16" format="5">
      <pivotArea type="data" outline="0" fieldPosition="0">
        <references count="2">
          <reference field="4294967294" count="1" selected="0">
            <x v="0"/>
          </reference>
          <reference field="1" count="1" selected="0">
            <x v="4"/>
          </reference>
        </references>
      </pivotArea>
    </chartFormat>
    <chartFormat chart="16" format="6">
      <pivotArea type="data" outline="0" fieldPosition="0">
        <references count="2">
          <reference field="4294967294" count="1" selected="0">
            <x v="0"/>
          </reference>
          <reference field="1" count="1" selected="0">
            <x v="5"/>
          </reference>
        </references>
      </pivotArea>
    </chartFormat>
    <chartFormat chart="16" format="7">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21F390-7366-44AA-9BDA-4738582AC43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3:B120" firstHeaderRow="1" firstDataRow="1" firstDataCol="1"/>
  <pivotFields count="10">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8">
        <item x="5"/>
        <item x="3"/>
        <item x="0"/>
        <item x="4"/>
        <item x="2"/>
        <item x="1"/>
        <item x="6"/>
        <item t="default"/>
      </items>
    </pivotField>
    <pivotField showAll="0"/>
    <pivotField showAll="0">
      <items count="17">
        <item x="0"/>
        <item x="2"/>
        <item x="12"/>
        <item x="4"/>
        <item x="6"/>
        <item x="1"/>
        <item x="13"/>
        <item x="7"/>
        <item x="3"/>
        <item x="8"/>
        <item x="5"/>
        <item x="14"/>
        <item x="10"/>
        <item x="15"/>
        <item x="9"/>
        <item x="11"/>
        <item t="default"/>
      </items>
    </pivotField>
    <pivotField dataField="1" showAll="0"/>
    <pivotField showAll="0"/>
    <pivotField showAll="0">
      <items count="4">
        <item x="0"/>
        <item x="2"/>
        <item x="1"/>
        <item t="default"/>
      </items>
    </pivotField>
    <pivotField showAll="0"/>
    <pivotField showAll="0"/>
    <pivotField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Discharged"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CE0631-5F8E-4EE6-815E-0940755FA63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F6:BG43" firstHeaderRow="1" firstDataRow="1" firstDataCol="1"/>
  <pivotFields count="10">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8">
        <item x="5"/>
        <item x="3"/>
        <item x="0"/>
        <item x="4"/>
        <item x="2"/>
        <item x="1"/>
        <item x="6"/>
        <item t="default"/>
      </items>
    </pivotField>
    <pivotField showAll="0"/>
    <pivotField showAll="0">
      <items count="17">
        <item x="0"/>
        <item x="2"/>
        <item x="12"/>
        <item x="4"/>
        <item x="6"/>
        <item x="1"/>
        <item x="13"/>
        <item x="7"/>
        <item x="3"/>
        <item x="8"/>
        <item x="5"/>
        <item x="14"/>
        <item x="10"/>
        <item x="15"/>
        <item x="9"/>
        <item x="11"/>
        <item t="default"/>
      </items>
    </pivotField>
    <pivotField showAll="0"/>
    <pivotField dataField="1" showAll="0"/>
    <pivotField showAll="0">
      <items count="4">
        <item x="0"/>
        <item x="2"/>
        <item x="1"/>
        <item t="default"/>
      </items>
    </pivotField>
    <pivotField showAll="0"/>
    <pivotField showAll="0"/>
    <pivotField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Deaths"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BC6612-CAC1-46DF-AFD3-D5B36195F6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2" firstHeaderRow="0" firstDataRow="1" firstDataCol="0"/>
  <pivotFields count="10">
    <pivotField dataField="1"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8">
        <item x="5"/>
        <item x="3"/>
        <item x="0"/>
        <item x="4"/>
        <item x="2"/>
        <item x="1"/>
        <item x="6"/>
        <item t="default"/>
      </items>
    </pivotField>
    <pivotField dataField="1" showAll="0"/>
    <pivotField dataField="1" showAll="0">
      <items count="17">
        <item x="0"/>
        <item x="2"/>
        <item x="12"/>
        <item x="4"/>
        <item x="6"/>
        <item x="1"/>
        <item x="13"/>
        <item x="7"/>
        <item x="3"/>
        <item x="8"/>
        <item x="5"/>
        <item x="14"/>
        <item x="10"/>
        <item x="15"/>
        <item x="9"/>
        <item x="11"/>
        <item t="default"/>
      </items>
    </pivotField>
    <pivotField dataField="1" showAll="0"/>
    <pivotField dataField="1" showAll="0"/>
    <pivotField showAll="0">
      <items count="4">
        <item x="0"/>
        <item x="2"/>
        <item x="1"/>
        <item t="default"/>
      </items>
    </pivotField>
    <pivotField showAll="0"/>
    <pivotField showAll="0"/>
    <pivotField showAll="0"/>
  </pivotFields>
  <rowItems count="1">
    <i/>
  </rowItems>
  <colFields count="1">
    <field x="-2"/>
  </colFields>
  <colItems count="5">
    <i>
      <x/>
    </i>
    <i i="1">
      <x v="1"/>
    </i>
    <i i="2">
      <x v="2"/>
    </i>
    <i i="3">
      <x v="3"/>
    </i>
    <i i="4">
      <x v="4"/>
    </i>
  </colItems>
  <dataFields count="5">
    <dataField name="No.of States" fld="0" subtotal="count" baseField="0" baseItem="0" numFmtId="2"/>
    <dataField name=" Total Cases" fld="2" baseField="0" baseItem="0" numFmtId="2"/>
    <dataField name="Total Deaths" fld="5" baseField="0" baseItem="0" numFmtId="2"/>
    <dataField name="Total No.of Discharged" fld="4" baseField="0" baseItem="0" numFmtId="2"/>
    <dataField name="Total No.of Active" fld="3" baseField="0" baseItem="0" numFmtId="2"/>
  </dataFields>
  <formats count="5">
    <format dxfId="4">
      <pivotArea outline="0" collapsedLevelsAreSubtotals="1" fieldPosition="0">
        <references count="1">
          <reference field="4294967294" count="1" selected="0">
            <x v="1"/>
          </reference>
        </references>
      </pivotArea>
    </format>
    <format dxfId="3">
      <pivotArea outline="0" collapsedLevelsAreSubtotals="1" fieldPosition="0">
        <references count="1">
          <reference field="4294967294" count="1" selected="0">
            <x v="2"/>
          </reference>
        </references>
      </pivotArea>
    </format>
    <format dxfId="2">
      <pivotArea outline="0" collapsedLevelsAreSubtotals="1" fieldPosition="0">
        <references count="1">
          <reference field="4294967294" count="1" selected="0">
            <x v="3"/>
          </reference>
        </references>
      </pivotArea>
    </format>
    <format dxfId="1">
      <pivotArea outline="0" collapsedLevelsAreSubtotals="1" fieldPosition="0">
        <references count="1">
          <reference field="4294967294" count="1" selected="0">
            <x v="4"/>
          </reference>
        </references>
      </pivotArea>
    </format>
    <format dxfId="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606496-FA05-4220-B27F-FAFA4553075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M14:CP51" firstHeaderRow="0" firstDataRow="1" firstDataCol="1"/>
  <pivotFields count="10">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8">
        <item x="5"/>
        <item x="3"/>
        <item x="0"/>
        <item x="4"/>
        <item x="2"/>
        <item x="1"/>
        <item x="6"/>
        <item t="default"/>
      </items>
    </pivotField>
    <pivotField showAll="0"/>
    <pivotField dataField="1" showAll="0">
      <items count="17">
        <item x="0"/>
        <item x="2"/>
        <item x="12"/>
        <item x="4"/>
        <item x="6"/>
        <item x="1"/>
        <item x="13"/>
        <item x="7"/>
        <item x="3"/>
        <item x="8"/>
        <item x="5"/>
        <item x="14"/>
        <item x="10"/>
        <item x="15"/>
        <item x="9"/>
        <item x="11"/>
        <item t="default"/>
      </items>
    </pivotField>
    <pivotField dataField="1" showAll="0"/>
    <pivotField dataField="1" showAll="0"/>
    <pivotField showAll="0">
      <items count="4">
        <item x="0"/>
        <item x="2"/>
        <item x="1"/>
        <item t="default"/>
      </items>
    </pivotField>
    <pivotField showAll="0"/>
    <pivotField showAll="0"/>
    <pivotField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3">
    <i>
      <x/>
    </i>
    <i i="1">
      <x v="1"/>
    </i>
    <i i="2">
      <x v="2"/>
    </i>
  </colItems>
  <dataFields count="3">
    <dataField name="Sum of Discharged" fld="4" baseField="0" baseItem="0"/>
    <dataField name="Sum of Deaths" fld="5" baseField="0" baseItem="0"/>
    <dataField name="Sum of Active" fld="3"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E721734-CCCB-41BB-9DC6-2CA5D3F932F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I4:AJ41" firstHeaderRow="1" firstDataRow="1" firstDataCol="1"/>
  <pivotFields count="10">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items count="8">
        <item x="5"/>
        <item x="3"/>
        <item x="0"/>
        <item x="4"/>
        <item x="2"/>
        <item x="1"/>
        <item x="6"/>
        <item t="default"/>
      </items>
    </pivotField>
    <pivotField showAll="0"/>
    <pivotField dataField="1" showAll="0">
      <items count="17">
        <item x="0"/>
        <item x="2"/>
        <item x="12"/>
        <item x="4"/>
        <item x="6"/>
        <item x="1"/>
        <item x="13"/>
        <item x="7"/>
        <item x="3"/>
        <item x="8"/>
        <item x="5"/>
        <item x="14"/>
        <item x="10"/>
        <item x="15"/>
        <item x="9"/>
        <item x="11"/>
        <item t="default"/>
      </items>
    </pivotField>
    <pivotField showAll="0"/>
    <pivotField showAll="0"/>
    <pivotField showAll="0">
      <items count="4">
        <item x="0"/>
        <item x="2"/>
        <item x="1"/>
        <item t="default"/>
      </items>
    </pivotField>
    <pivotField showAll="0"/>
    <pivotField showAll="0"/>
    <pivotField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Active"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s" xr10:uid="{ADA561BF-CD5C-4626-A632-879542705F3A}" sourceName="States">
  <pivotTables>
    <pivotTable tabId="2" name="PivotTable2"/>
    <pivotTable tabId="2" name="PivotTable1"/>
    <pivotTable tabId="2" name="PivotTable4"/>
    <pivotTable tabId="2" name="PivotTable6"/>
    <pivotTable tabId="2" name="PivotTable10"/>
    <pivotTable tabId="2" name="PivotTable12"/>
    <pivotTable tabId="2" name="PivotTable14"/>
    <pivotTable tabId="2" name="PivotTable15"/>
    <pivotTable tabId="2" name="PivotTable5"/>
    <pivotTable tabId="2" name="PivotTable8"/>
  </pivotTables>
  <data>
    <tabular pivotCacheId="1567456289">
      <items count="36">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BBC4A85-0668-4965-82B9-03D1A70C4C7B}" sourceName="Region">
  <pivotTables>
    <pivotTable tabId="2" name="PivotTable2"/>
    <pivotTable tabId="2" name="PivotTable1"/>
    <pivotTable tabId="2" name="PivotTable4"/>
    <pivotTable tabId="2" name="PivotTable6"/>
    <pivotTable tabId="2" name="PivotTable10"/>
    <pivotTable tabId="2" name="PivotTable12"/>
    <pivotTable tabId="2" name="PivotTable14"/>
    <pivotTable tabId="2" name="PivotTable15"/>
    <pivotTable tabId="2" name="PivotTable5"/>
    <pivotTable tabId="2" name="PivotTable8"/>
  </pivotTables>
  <data>
    <tabular pivotCacheId="1567456289">
      <items count="7">
        <i x="5" s="1"/>
        <i x="3" s="1"/>
        <i x="0" s="1"/>
        <i x="4" s="1"/>
        <i x="2" s="1"/>
        <i x="1"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e" xr10:uid="{607121DF-5183-46D0-99C9-5E7DC83DA9D2}" sourceName="Active">
  <pivotTables>
    <pivotTable tabId="2" name="PivotTable2"/>
    <pivotTable tabId="2" name="PivotTable1"/>
    <pivotTable tabId="2" name="PivotTable10"/>
    <pivotTable tabId="2" name="PivotTable12"/>
    <pivotTable tabId="2" name="PivotTable14"/>
    <pivotTable tabId="2" name="PivotTable15"/>
    <pivotTable tabId="2" name="PivotTable4"/>
    <pivotTable tabId="2" name="PivotTable6"/>
    <pivotTable tabId="2" name="PivotTable5"/>
    <pivotTable tabId="2" name="PivotTable8"/>
  </pivotTables>
  <data>
    <tabular pivotCacheId="1567456289">
      <items count="16">
        <i x="0" s="1"/>
        <i x="2" s="1"/>
        <i x="12" s="1"/>
        <i x="4" s="1"/>
        <i x="6" s="1"/>
        <i x="1" s="1"/>
        <i x="13" s="1"/>
        <i x="7" s="1"/>
        <i x="3" s="1"/>
        <i x="8" s="1"/>
        <i x="5" s="1"/>
        <i x="14" s="1"/>
        <i x="10" s="1"/>
        <i x="15" s="1"/>
        <i x="9"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e_Ratio" xr10:uid="{A471FB31-56C3-4B87-B069-57BF4FDCC8E8}" sourceName="Active Ratio">
  <pivotTables>
    <pivotTable tabId="2" name="PivotTable2"/>
    <pivotTable tabId="2" name="PivotTable1"/>
    <pivotTable tabId="2" name="PivotTable10"/>
    <pivotTable tabId="2" name="PivotTable12"/>
    <pivotTable tabId="2" name="PivotTable14"/>
    <pivotTable tabId="2" name="PivotTable15"/>
    <pivotTable tabId="2" name="PivotTable4"/>
    <pivotTable tabId="2" name="PivotTable6"/>
    <pivotTable tabId="2" name="PivotTable5"/>
    <pivotTable tabId="2" name="PivotTable8"/>
  </pivotTables>
  <data>
    <tabular pivotCacheId="156745628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s" xr10:uid="{1720FFDC-AB87-4563-A9F8-0F69120A935F}" cache="Slicer_States" caption="States" rowHeight="241300"/>
  <slicer name="Region" xr10:uid="{D62AFDA3-47E3-4EBF-AEE8-E49518D7D568}" cache="Slicer_Region" caption="Region" rowHeight="241300"/>
  <slicer name="Active" xr10:uid="{C924FDFF-BC59-47AB-BD7C-12E8382F5792}" cache="Slicer_Active" caption="Active" rowHeight="241300"/>
  <slicer name="Active Ratio" xr10:uid="{A8BD2E2D-F776-4F8E-921B-A780D451EC72}" cache="Slicer_Active_Ratio" caption="Active Ratio"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s 1" xr10:uid="{F50CF908-CBCE-4F3A-B50D-C9D11829FDD7}" cache="Slicer_States" caption="States" style="Slicer Style 1" rowHeight="241300"/>
  <slicer name="Region 1" xr10:uid="{FBA72880-819B-4A4D-A428-7AC4E7301FFE}" cache="Slicer_Region" caption="Region" style="Slicer Style 1" rowHeight="241300"/>
  <slicer name="Active Ratio 1" xr10:uid="{F7241809-4ECB-4442-B6D2-23AEA63B2E87}" cache="Slicer_Active_Ratio" caption="Active Ratio"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677233-93C8-4581-8AA4-A7C9030FB936}" name="COVID" displayName="COVID" ref="A1:J37" totalsRowShown="0">
  <autoFilter ref="A1:J37" xr:uid="{25677233-93C8-4581-8AA4-A7C9030FB936}"/>
  <tableColumns count="10">
    <tableColumn id="1" xr3:uid="{5A02CF0B-3BE7-4C13-9AB0-D667C8731D78}" name="States"/>
    <tableColumn id="10" xr3:uid="{273423CB-3216-439E-AB01-F52239F92E99}" name="Region"/>
    <tableColumn id="2" xr3:uid="{7CBB5723-123B-4111-A00F-016D2AF2974C}" name="Total Cases"/>
    <tableColumn id="3" xr3:uid="{996A5140-7A8C-442F-AB1B-46AC23842371}" name="Active"/>
    <tableColumn id="4" xr3:uid="{9C746349-352A-491A-B928-DD65E7C94505}" name="Discharged"/>
    <tableColumn id="5" xr3:uid="{F4A685EE-407B-4619-8D3F-FBB8B5258693}" name="Deaths"/>
    <tableColumn id="6" xr3:uid="{514B686A-8A82-4617-ABBC-54D5C08E0B9F}" name="Active Ratio"/>
    <tableColumn id="7" xr3:uid="{77EACD49-C30C-45C1-8D32-BAB0E1D54657}" name="Discharge Ratio"/>
    <tableColumn id="8" xr3:uid="{2B0BCFD9-EAA4-43B2-BDBD-EE82C601CEBD}" name="Death Ratio"/>
    <tableColumn id="9" xr3:uid="{1B456A50-3BBA-4FEA-84FA-ED1EC85853C9}" name="Popul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273C2-C80C-4221-9714-063C38D94088}">
  <dimension ref="A1:J37"/>
  <sheetViews>
    <sheetView zoomScale="84" workbookViewId="0">
      <selection activeCell="B22" sqref="B22"/>
    </sheetView>
  </sheetViews>
  <sheetFormatPr defaultRowHeight="14.5" x14ac:dyDescent="0.35"/>
  <cols>
    <col min="1" max="1" width="38.08984375" bestFit="1" customWidth="1"/>
    <col min="2" max="2" width="38.08984375" customWidth="1"/>
    <col min="3" max="3" width="12.453125" customWidth="1"/>
    <col min="4" max="4" width="8.36328125" customWidth="1"/>
    <col min="5" max="5" width="12.36328125" customWidth="1"/>
    <col min="6" max="6" width="8.90625" customWidth="1"/>
    <col min="7" max="7" width="13.26953125" customWidth="1"/>
    <col min="8" max="8" width="16.26953125" customWidth="1"/>
    <col min="9" max="9" width="13" customWidth="1"/>
    <col min="10" max="10" width="12.36328125" customWidth="1"/>
  </cols>
  <sheetData>
    <row r="1" spans="1:10" x14ac:dyDescent="0.35">
      <c r="A1" t="s">
        <v>44</v>
      </c>
      <c r="B1" t="s">
        <v>57</v>
      </c>
      <c r="C1" t="s">
        <v>0</v>
      </c>
      <c r="D1" t="s">
        <v>1</v>
      </c>
      <c r="E1" t="s">
        <v>2</v>
      </c>
      <c r="F1" t="s">
        <v>3</v>
      </c>
      <c r="G1" t="s">
        <v>4</v>
      </c>
      <c r="H1" t="s">
        <v>5</v>
      </c>
      <c r="I1" t="s">
        <v>6</v>
      </c>
      <c r="J1" t="s">
        <v>7</v>
      </c>
    </row>
    <row r="2" spans="1:10" x14ac:dyDescent="0.35">
      <c r="A2" t="s">
        <v>8</v>
      </c>
      <c r="B2" t="s">
        <v>58</v>
      </c>
      <c r="C2">
        <v>10766</v>
      </c>
      <c r="D2">
        <v>0</v>
      </c>
      <c r="E2">
        <v>10637</v>
      </c>
      <c r="F2">
        <v>129</v>
      </c>
      <c r="G2">
        <v>0</v>
      </c>
      <c r="H2">
        <v>98.8</v>
      </c>
      <c r="I2">
        <v>1.2</v>
      </c>
      <c r="J2">
        <v>100896618</v>
      </c>
    </row>
    <row r="3" spans="1:10" x14ac:dyDescent="0.35">
      <c r="A3" t="s">
        <v>9</v>
      </c>
      <c r="B3" t="s">
        <v>59</v>
      </c>
      <c r="C3">
        <v>2340676</v>
      </c>
      <c r="D3">
        <v>0</v>
      </c>
      <c r="E3">
        <v>2325943</v>
      </c>
      <c r="F3">
        <v>14733</v>
      </c>
      <c r="G3">
        <v>0</v>
      </c>
      <c r="H3">
        <v>99.37</v>
      </c>
      <c r="I3">
        <v>0.63</v>
      </c>
      <c r="J3">
        <v>128500364</v>
      </c>
    </row>
    <row r="4" spans="1:10" x14ac:dyDescent="0.35">
      <c r="A4" t="s">
        <v>10</v>
      </c>
      <c r="B4" t="s">
        <v>60</v>
      </c>
      <c r="C4">
        <v>67049</v>
      </c>
      <c r="D4">
        <v>0</v>
      </c>
      <c r="E4">
        <v>66753</v>
      </c>
      <c r="F4">
        <v>296</v>
      </c>
      <c r="G4">
        <v>0</v>
      </c>
      <c r="H4">
        <v>99.56</v>
      </c>
      <c r="I4">
        <v>0.44</v>
      </c>
      <c r="J4">
        <v>658019</v>
      </c>
    </row>
    <row r="5" spans="1:10" x14ac:dyDescent="0.35">
      <c r="A5" t="s">
        <v>11</v>
      </c>
      <c r="B5" t="s">
        <v>60</v>
      </c>
      <c r="C5">
        <v>746159</v>
      </c>
      <c r="D5">
        <v>5</v>
      </c>
      <c r="E5">
        <v>738119</v>
      </c>
      <c r="F5">
        <v>8035</v>
      </c>
      <c r="G5">
        <v>0</v>
      </c>
      <c r="H5">
        <v>98.92</v>
      </c>
      <c r="I5">
        <v>1.08</v>
      </c>
      <c r="J5">
        <v>290492</v>
      </c>
    </row>
    <row r="6" spans="1:10" x14ac:dyDescent="0.35">
      <c r="A6" t="s">
        <v>12</v>
      </c>
      <c r="B6" t="s">
        <v>61</v>
      </c>
      <c r="C6">
        <v>855267</v>
      </c>
      <c r="D6">
        <v>1</v>
      </c>
      <c r="E6">
        <v>842952</v>
      </c>
      <c r="F6">
        <v>12314</v>
      </c>
      <c r="G6">
        <v>0</v>
      </c>
      <c r="H6">
        <v>98.56</v>
      </c>
      <c r="I6">
        <v>1.44</v>
      </c>
      <c r="J6">
        <v>40100376</v>
      </c>
    </row>
    <row r="7" spans="1:10" x14ac:dyDescent="0.35">
      <c r="A7" t="s">
        <v>13</v>
      </c>
      <c r="B7" t="s">
        <v>63</v>
      </c>
      <c r="C7">
        <v>100693</v>
      </c>
      <c r="D7">
        <v>0</v>
      </c>
      <c r="E7">
        <v>99508</v>
      </c>
      <c r="F7">
        <v>1185</v>
      </c>
      <c r="G7">
        <v>0</v>
      </c>
      <c r="H7">
        <v>98.82</v>
      </c>
      <c r="I7">
        <v>1.18</v>
      </c>
      <c r="J7">
        <v>30501026</v>
      </c>
    </row>
    <row r="8" spans="1:10" x14ac:dyDescent="0.35">
      <c r="A8" t="s">
        <v>14</v>
      </c>
      <c r="B8" t="s">
        <v>62</v>
      </c>
      <c r="C8">
        <v>1187695</v>
      </c>
      <c r="D8">
        <v>0</v>
      </c>
      <c r="E8">
        <v>1173505</v>
      </c>
      <c r="F8">
        <v>14190</v>
      </c>
      <c r="G8">
        <v>0</v>
      </c>
      <c r="H8">
        <v>98.81</v>
      </c>
      <c r="I8">
        <v>1.19</v>
      </c>
      <c r="J8">
        <v>28900667</v>
      </c>
    </row>
    <row r="9" spans="1:10" x14ac:dyDescent="0.35">
      <c r="A9" t="s">
        <v>15</v>
      </c>
      <c r="B9" t="s">
        <v>64</v>
      </c>
      <c r="C9">
        <v>11592</v>
      </c>
      <c r="D9">
        <v>0</v>
      </c>
      <c r="E9">
        <v>11588</v>
      </c>
      <c r="F9">
        <v>4</v>
      </c>
      <c r="G9">
        <v>0</v>
      </c>
      <c r="H9">
        <v>99.97</v>
      </c>
      <c r="I9">
        <v>0.03</v>
      </c>
      <c r="J9">
        <v>231502578</v>
      </c>
    </row>
    <row r="10" spans="1:10" x14ac:dyDescent="0.35">
      <c r="A10" t="s">
        <v>16</v>
      </c>
      <c r="B10" t="s">
        <v>63</v>
      </c>
      <c r="C10">
        <v>2040910</v>
      </c>
      <c r="D10">
        <v>14</v>
      </c>
      <c r="E10">
        <v>2014230</v>
      </c>
      <c r="F10">
        <v>26666</v>
      </c>
      <c r="G10">
        <v>0</v>
      </c>
      <c r="H10">
        <v>98.69</v>
      </c>
      <c r="I10">
        <v>1.31</v>
      </c>
      <c r="J10">
        <v>773997</v>
      </c>
    </row>
    <row r="11" spans="1:10" x14ac:dyDescent="0.35">
      <c r="A11" t="s">
        <v>17</v>
      </c>
      <c r="B11" t="s">
        <v>64</v>
      </c>
      <c r="C11">
        <v>263346</v>
      </c>
      <c r="D11">
        <v>3</v>
      </c>
      <c r="E11">
        <v>259329</v>
      </c>
      <c r="F11">
        <v>4014</v>
      </c>
      <c r="G11">
        <v>0</v>
      </c>
      <c r="H11">
        <v>98.47</v>
      </c>
      <c r="I11">
        <v>1.52</v>
      </c>
      <c r="J11">
        <v>3772103</v>
      </c>
    </row>
    <row r="12" spans="1:10" x14ac:dyDescent="0.35">
      <c r="A12" t="s">
        <v>18</v>
      </c>
      <c r="B12" t="s">
        <v>64</v>
      </c>
      <c r="C12">
        <v>1291383</v>
      </c>
      <c r="D12">
        <v>5</v>
      </c>
      <c r="E12">
        <v>1280299</v>
      </c>
      <c r="F12">
        <v>11079</v>
      </c>
      <c r="G12">
        <v>0</v>
      </c>
      <c r="H12">
        <v>99.14</v>
      </c>
      <c r="I12">
        <v>0.86</v>
      </c>
      <c r="J12">
        <v>70400153</v>
      </c>
    </row>
    <row r="13" spans="1:10" x14ac:dyDescent="0.35">
      <c r="A13" t="s">
        <v>19</v>
      </c>
      <c r="B13" t="s">
        <v>63</v>
      </c>
      <c r="C13">
        <v>1078903</v>
      </c>
      <c r="D13">
        <v>27</v>
      </c>
      <c r="E13">
        <v>1068121</v>
      </c>
      <c r="F13">
        <v>10755</v>
      </c>
      <c r="G13">
        <v>0</v>
      </c>
      <c r="H13">
        <v>99</v>
      </c>
      <c r="I13">
        <v>1</v>
      </c>
      <c r="J13">
        <v>7503010</v>
      </c>
    </row>
    <row r="14" spans="1:10" x14ac:dyDescent="0.35">
      <c r="A14" t="s">
        <v>20</v>
      </c>
      <c r="B14" t="s">
        <v>63</v>
      </c>
      <c r="C14">
        <v>322905</v>
      </c>
      <c r="D14">
        <v>4</v>
      </c>
      <c r="E14">
        <v>318660</v>
      </c>
      <c r="F14">
        <v>4241</v>
      </c>
      <c r="G14">
        <v>0</v>
      </c>
      <c r="H14">
        <v>98.69</v>
      </c>
      <c r="I14">
        <v>1.31</v>
      </c>
      <c r="J14">
        <v>3436948</v>
      </c>
    </row>
    <row r="15" spans="1:10" x14ac:dyDescent="0.35">
      <c r="A15" t="s">
        <v>21</v>
      </c>
      <c r="B15" t="s">
        <v>63</v>
      </c>
      <c r="C15">
        <v>482023</v>
      </c>
      <c r="D15">
        <v>0</v>
      </c>
      <c r="E15">
        <v>477231</v>
      </c>
      <c r="F15">
        <v>4792</v>
      </c>
      <c r="G15">
        <v>0</v>
      </c>
      <c r="H15">
        <v>99.01</v>
      </c>
      <c r="I15">
        <v>0.99</v>
      </c>
      <c r="J15">
        <v>66001</v>
      </c>
    </row>
    <row r="16" spans="1:10" x14ac:dyDescent="0.35">
      <c r="A16" t="s">
        <v>22</v>
      </c>
      <c r="B16" t="s">
        <v>61</v>
      </c>
      <c r="C16">
        <v>443826</v>
      </c>
      <c r="D16">
        <v>1</v>
      </c>
      <c r="E16">
        <v>438491</v>
      </c>
      <c r="F16">
        <v>5334</v>
      </c>
      <c r="G16">
        <v>0</v>
      </c>
      <c r="H16">
        <v>98.8</v>
      </c>
      <c r="I16">
        <v>1.2</v>
      </c>
      <c r="J16">
        <v>124904071</v>
      </c>
    </row>
    <row r="17" spans="1:10" x14ac:dyDescent="0.35">
      <c r="A17" t="s">
        <v>23</v>
      </c>
      <c r="B17" t="s">
        <v>59</v>
      </c>
      <c r="C17">
        <v>4088769</v>
      </c>
      <c r="D17">
        <v>12</v>
      </c>
      <c r="E17">
        <v>4048399</v>
      </c>
      <c r="F17">
        <v>40358</v>
      </c>
      <c r="G17">
        <v>0</v>
      </c>
      <c r="H17">
        <v>99.01</v>
      </c>
      <c r="I17">
        <v>0.99</v>
      </c>
      <c r="J17">
        <v>1711947</v>
      </c>
    </row>
    <row r="18" spans="1:10" x14ac:dyDescent="0.35">
      <c r="A18" t="s">
        <v>24</v>
      </c>
      <c r="B18" t="s">
        <v>59</v>
      </c>
      <c r="C18">
        <v>6907241</v>
      </c>
      <c r="D18">
        <v>18</v>
      </c>
      <c r="E18">
        <v>6835181</v>
      </c>
      <c r="F18">
        <v>72042</v>
      </c>
      <c r="G18">
        <v>0</v>
      </c>
      <c r="H18">
        <v>98.96</v>
      </c>
      <c r="I18">
        <v>1.04</v>
      </c>
      <c r="J18">
        <v>91702478</v>
      </c>
    </row>
    <row r="19" spans="1:10" x14ac:dyDescent="0.35">
      <c r="A19" t="s">
        <v>25</v>
      </c>
      <c r="B19" t="s">
        <v>63</v>
      </c>
      <c r="C19">
        <v>29602</v>
      </c>
      <c r="D19">
        <v>0</v>
      </c>
      <c r="E19">
        <v>29371</v>
      </c>
      <c r="F19">
        <v>231</v>
      </c>
      <c r="G19">
        <v>0</v>
      </c>
      <c r="H19">
        <v>99.22</v>
      </c>
      <c r="I19">
        <v>0.78</v>
      </c>
      <c r="J19">
        <v>4184959</v>
      </c>
    </row>
    <row r="20" spans="1:10" x14ac:dyDescent="0.35">
      <c r="A20" t="s">
        <v>26</v>
      </c>
      <c r="B20" t="s">
        <v>58</v>
      </c>
      <c r="C20">
        <v>11415</v>
      </c>
      <c r="D20">
        <v>0</v>
      </c>
      <c r="E20">
        <v>11363</v>
      </c>
      <c r="F20">
        <v>52</v>
      </c>
      <c r="G20">
        <v>0</v>
      </c>
      <c r="H20">
        <v>99.54</v>
      </c>
      <c r="I20">
        <v>0.46</v>
      </c>
      <c r="J20">
        <v>11700099</v>
      </c>
    </row>
    <row r="21" spans="1:10" x14ac:dyDescent="0.35">
      <c r="A21" t="s">
        <v>27</v>
      </c>
      <c r="B21" t="s">
        <v>62</v>
      </c>
      <c r="C21">
        <v>1056351</v>
      </c>
      <c r="D21">
        <v>0</v>
      </c>
      <c r="E21">
        <v>1045565</v>
      </c>
      <c r="F21">
        <v>10786</v>
      </c>
      <c r="G21">
        <v>0</v>
      </c>
      <c r="H21">
        <v>98.98</v>
      </c>
      <c r="I21">
        <v>1.02</v>
      </c>
      <c r="J21">
        <v>14999397</v>
      </c>
    </row>
    <row r="22" spans="1:10" x14ac:dyDescent="0.35">
      <c r="A22" t="s">
        <v>28</v>
      </c>
      <c r="B22" t="s">
        <v>64</v>
      </c>
      <c r="C22">
        <v>8171048</v>
      </c>
      <c r="D22">
        <v>214</v>
      </c>
      <c r="E22">
        <v>8022276</v>
      </c>
      <c r="F22">
        <v>148558</v>
      </c>
      <c r="G22">
        <v>0</v>
      </c>
      <c r="H22">
        <v>98.18</v>
      </c>
      <c r="I22">
        <v>1.82</v>
      </c>
      <c r="J22">
        <v>399001</v>
      </c>
    </row>
    <row r="23" spans="1:10" x14ac:dyDescent="0.35">
      <c r="A23" t="s">
        <v>29</v>
      </c>
      <c r="B23" t="s">
        <v>60</v>
      </c>
      <c r="C23">
        <v>140034</v>
      </c>
      <c r="D23">
        <v>0</v>
      </c>
      <c r="E23">
        <v>137885</v>
      </c>
      <c r="F23">
        <v>2149</v>
      </c>
      <c r="G23">
        <v>0</v>
      </c>
      <c r="H23">
        <v>98.47</v>
      </c>
      <c r="I23">
        <v>1.53</v>
      </c>
      <c r="J23">
        <v>47099270</v>
      </c>
    </row>
    <row r="24" spans="1:10" x14ac:dyDescent="0.35">
      <c r="A24" t="s">
        <v>30</v>
      </c>
      <c r="B24" t="s">
        <v>60</v>
      </c>
      <c r="C24">
        <v>96983</v>
      </c>
      <c r="D24">
        <v>3</v>
      </c>
      <c r="E24">
        <v>95352</v>
      </c>
      <c r="F24">
        <v>1628</v>
      </c>
      <c r="G24">
        <v>0</v>
      </c>
      <c r="H24">
        <v>98.32</v>
      </c>
      <c r="I24">
        <v>1.68</v>
      </c>
      <c r="J24">
        <v>79502477</v>
      </c>
    </row>
    <row r="25" spans="1:10" x14ac:dyDescent="0.35">
      <c r="A25" t="s">
        <v>31</v>
      </c>
      <c r="B25" t="s">
        <v>60</v>
      </c>
      <c r="C25">
        <v>239560</v>
      </c>
      <c r="D25">
        <v>1</v>
      </c>
      <c r="E25">
        <v>238825</v>
      </c>
      <c r="F25">
        <v>734</v>
      </c>
      <c r="G25">
        <v>0</v>
      </c>
      <c r="H25">
        <v>99.69</v>
      </c>
      <c r="I25">
        <v>0.31</v>
      </c>
      <c r="J25">
        <v>1308967</v>
      </c>
    </row>
    <row r="26" spans="1:10" x14ac:dyDescent="0.35">
      <c r="A26" t="s">
        <v>32</v>
      </c>
      <c r="B26" t="s">
        <v>60</v>
      </c>
      <c r="C26">
        <v>36033</v>
      </c>
      <c r="D26">
        <v>0</v>
      </c>
      <c r="E26">
        <v>35251</v>
      </c>
      <c r="F26">
        <v>782</v>
      </c>
      <c r="G26">
        <v>0</v>
      </c>
      <c r="H26">
        <v>97.83</v>
      </c>
      <c r="I26">
        <v>2.17</v>
      </c>
      <c r="J26">
        <v>38157311</v>
      </c>
    </row>
    <row r="27" spans="1:10" x14ac:dyDescent="0.35">
      <c r="A27" t="s">
        <v>33</v>
      </c>
      <c r="B27" t="s">
        <v>61</v>
      </c>
      <c r="C27">
        <v>1348409</v>
      </c>
      <c r="D27">
        <v>59</v>
      </c>
      <c r="E27">
        <v>1339135</v>
      </c>
      <c r="F27">
        <v>9215</v>
      </c>
      <c r="G27">
        <v>0</v>
      </c>
      <c r="H27">
        <v>99.31</v>
      </c>
      <c r="I27">
        <v>0.68</v>
      </c>
      <c r="J27">
        <v>19301096</v>
      </c>
    </row>
    <row r="28" spans="1:10" x14ac:dyDescent="0.35">
      <c r="A28" t="s">
        <v>34</v>
      </c>
      <c r="B28" t="s">
        <v>59</v>
      </c>
      <c r="C28">
        <v>177547</v>
      </c>
      <c r="D28">
        <v>0</v>
      </c>
      <c r="E28">
        <v>175566</v>
      </c>
      <c r="F28">
        <v>1981</v>
      </c>
      <c r="G28">
        <v>0</v>
      </c>
      <c r="H28">
        <v>98.88</v>
      </c>
      <c r="I28">
        <v>1.1200000000000001</v>
      </c>
      <c r="J28">
        <v>2073074</v>
      </c>
    </row>
    <row r="29" spans="1:10" x14ac:dyDescent="0.35">
      <c r="A29" t="s">
        <v>35</v>
      </c>
      <c r="B29" t="s">
        <v>63</v>
      </c>
      <c r="C29">
        <v>793644</v>
      </c>
      <c r="D29">
        <v>1233</v>
      </c>
      <c r="E29">
        <v>773073</v>
      </c>
      <c r="F29">
        <v>19338</v>
      </c>
      <c r="G29">
        <v>0.16</v>
      </c>
      <c r="H29">
        <v>97.41</v>
      </c>
      <c r="I29">
        <v>2.44</v>
      </c>
      <c r="J29">
        <v>34698876</v>
      </c>
    </row>
    <row r="30" spans="1:10" x14ac:dyDescent="0.35">
      <c r="A30" t="s">
        <v>36</v>
      </c>
      <c r="B30" t="s">
        <v>63</v>
      </c>
      <c r="C30">
        <v>1326465</v>
      </c>
      <c r="D30">
        <v>2</v>
      </c>
      <c r="E30">
        <v>1316727</v>
      </c>
      <c r="F30">
        <v>9736</v>
      </c>
      <c r="G30">
        <v>0</v>
      </c>
      <c r="H30">
        <v>99.27</v>
      </c>
      <c r="I30">
        <v>0.73</v>
      </c>
      <c r="J30">
        <v>1521992</v>
      </c>
    </row>
    <row r="31" spans="1:10" x14ac:dyDescent="0.35">
      <c r="A31" t="s">
        <v>37</v>
      </c>
      <c r="B31" t="s">
        <v>60</v>
      </c>
      <c r="C31">
        <v>44927</v>
      </c>
      <c r="D31">
        <v>4</v>
      </c>
      <c r="E31">
        <v>44422</v>
      </c>
      <c r="F31">
        <v>501</v>
      </c>
      <c r="G31">
        <v>0.01</v>
      </c>
      <c r="H31">
        <v>98.88</v>
      </c>
      <c r="I31">
        <v>1.1200000000000001</v>
      </c>
      <c r="J31">
        <v>83697770</v>
      </c>
    </row>
    <row r="32" spans="1:10" x14ac:dyDescent="0.35">
      <c r="A32" t="s">
        <v>38</v>
      </c>
      <c r="B32" t="s">
        <v>59</v>
      </c>
      <c r="C32">
        <v>3610655</v>
      </c>
      <c r="D32">
        <v>5</v>
      </c>
      <c r="E32">
        <v>3572569</v>
      </c>
      <c r="F32">
        <v>38081</v>
      </c>
      <c r="G32">
        <v>0</v>
      </c>
      <c r="H32">
        <v>98.95</v>
      </c>
      <c r="I32">
        <v>1.05</v>
      </c>
      <c r="J32">
        <v>35998752</v>
      </c>
    </row>
    <row r="33" spans="1:10" x14ac:dyDescent="0.35">
      <c r="A33" t="s">
        <v>39</v>
      </c>
      <c r="B33" t="s">
        <v>59</v>
      </c>
      <c r="C33">
        <v>844432</v>
      </c>
      <c r="D33">
        <v>8</v>
      </c>
      <c r="E33">
        <v>840313</v>
      </c>
      <c r="F33">
        <v>4111</v>
      </c>
      <c r="G33">
        <v>0</v>
      </c>
      <c r="H33">
        <v>99.51</v>
      </c>
      <c r="I33">
        <v>0.49</v>
      </c>
      <c r="J33">
        <v>69599762</v>
      </c>
    </row>
    <row r="34" spans="1:10" x14ac:dyDescent="0.35">
      <c r="A34" t="s">
        <v>40</v>
      </c>
      <c r="B34" t="s">
        <v>60</v>
      </c>
      <c r="C34">
        <v>108493</v>
      </c>
      <c r="D34">
        <v>1</v>
      </c>
      <c r="E34">
        <v>107550</v>
      </c>
      <c r="F34">
        <v>942</v>
      </c>
      <c r="G34">
        <v>0</v>
      </c>
      <c r="H34">
        <v>99.13</v>
      </c>
      <c r="I34">
        <v>0.87</v>
      </c>
      <c r="J34">
        <v>1646050</v>
      </c>
    </row>
    <row r="35" spans="1:10" x14ac:dyDescent="0.35">
      <c r="A35" t="s">
        <v>41</v>
      </c>
      <c r="B35" t="s">
        <v>63</v>
      </c>
      <c r="C35">
        <v>2145431</v>
      </c>
      <c r="D35">
        <v>57</v>
      </c>
      <c r="E35">
        <v>2121662</v>
      </c>
      <c r="F35">
        <v>23712</v>
      </c>
      <c r="G35">
        <v>0</v>
      </c>
      <c r="H35">
        <v>98.89</v>
      </c>
      <c r="I35">
        <v>1.1100000000000001</v>
      </c>
      <c r="J35">
        <v>1158040</v>
      </c>
    </row>
    <row r="36" spans="1:10" x14ac:dyDescent="0.35">
      <c r="A36" t="s">
        <v>42</v>
      </c>
      <c r="B36" t="s">
        <v>63</v>
      </c>
      <c r="C36">
        <v>452571</v>
      </c>
      <c r="D36">
        <v>0</v>
      </c>
      <c r="E36">
        <v>444803</v>
      </c>
      <c r="F36">
        <v>7768</v>
      </c>
      <c r="G36">
        <v>0</v>
      </c>
      <c r="H36">
        <v>98.28</v>
      </c>
      <c r="I36">
        <v>1.72</v>
      </c>
      <c r="J36">
        <v>85002417</v>
      </c>
    </row>
    <row r="37" spans="1:10" x14ac:dyDescent="0.35">
      <c r="A37" t="s">
        <v>43</v>
      </c>
      <c r="B37" t="s">
        <v>61</v>
      </c>
      <c r="C37">
        <v>2126282</v>
      </c>
      <c r="D37">
        <v>135</v>
      </c>
      <c r="E37">
        <v>2104592</v>
      </c>
      <c r="F37">
        <v>21555</v>
      </c>
      <c r="G37">
        <v>0.01</v>
      </c>
      <c r="H37">
        <v>98.98</v>
      </c>
      <c r="I37">
        <v>1.01</v>
      </c>
      <c r="J37">
        <v>32199722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E3427-30F5-4CD2-A8C8-E42C77F61870}">
  <dimension ref="A1:CP224"/>
  <sheetViews>
    <sheetView topLeftCell="BO182" zoomScale="75" zoomScaleNormal="32" workbookViewId="0">
      <selection activeCell="BP198" sqref="BP198"/>
    </sheetView>
  </sheetViews>
  <sheetFormatPr defaultRowHeight="14.5" x14ac:dyDescent="0.35"/>
  <cols>
    <col min="1" max="1" width="38.54296875" bestFit="1" customWidth="1"/>
    <col min="2" max="2" width="17.1796875" bestFit="1" customWidth="1"/>
    <col min="3" max="3" width="11.81640625" bestFit="1" customWidth="1"/>
    <col min="4" max="4" width="20.7265625" bestFit="1" customWidth="1"/>
    <col min="5" max="5" width="16.453125" bestFit="1" customWidth="1"/>
    <col min="35" max="36" width="38.54296875" bestFit="1" customWidth="1"/>
    <col min="37" max="37" width="13.54296875" bestFit="1" customWidth="1"/>
    <col min="58" max="58" width="38.54296875" bestFit="1" customWidth="1"/>
    <col min="59" max="59" width="13.54296875" bestFit="1" customWidth="1"/>
    <col min="60" max="60" width="13.81640625" bestFit="1" customWidth="1"/>
    <col min="61" max="61" width="17.81640625" bestFit="1" customWidth="1"/>
    <col min="64" max="64" width="57.36328125" bestFit="1" customWidth="1"/>
    <col min="65" max="65" width="41.90625" bestFit="1" customWidth="1"/>
    <col min="66" max="66" width="13.81640625" bestFit="1" customWidth="1"/>
    <col min="67" max="67" width="17.1796875" bestFit="1" customWidth="1"/>
    <col min="68" max="68" width="16.81640625" bestFit="1" customWidth="1"/>
    <col min="69" max="69" width="21.54296875" bestFit="1" customWidth="1"/>
    <col min="70" max="70" width="24.81640625" bestFit="1" customWidth="1"/>
    <col min="71" max="71" width="24.26953125" bestFit="1" customWidth="1"/>
    <col min="91" max="91" width="38.54296875" bestFit="1" customWidth="1"/>
    <col min="92" max="92" width="17.08984375" bestFit="1" customWidth="1"/>
    <col min="93" max="93" width="13.54296875" bestFit="1" customWidth="1"/>
    <col min="94" max="94" width="12.81640625" bestFit="1" customWidth="1"/>
    <col min="124" max="125" width="8.7265625" customWidth="1"/>
    <col min="129" max="130" width="8.7265625" customWidth="1"/>
  </cols>
  <sheetData>
    <row r="1" spans="1:94" x14ac:dyDescent="0.35">
      <c r="A1" t="s">
        <v>52</v>
      </c>
      <c r="B1" t="s">
        <v>53</v>
      </c>
      <c r="C1" t="s">
        <v>54</v>
      </c>
      <c r="D1" t="s">
        <v>55</v>
      </c>
      <c r="E1" t="s">
        <v>56</v>
      </c>
    </row>
    <row r="2" spans="1:94" x14ac:dyDescent="0.35">
      <c r="A2" s="3">
        <v>36</v>
      </c>
      <c r="B2" s="3">
        <v>44999085</v>
      </c>
      <c r="C2" s="3">
        <v>532027</v>
      </c>
      <c r="D2" s="3">
        <v>44465246</v>
      </c>
      <c r="E2" s="3">
        <v>1812</v>
      </c>
    </row>
    <row r="4" spans="1:94" x14ac:dyDescent="0.35">
      <c r="AI4" s="1" t="s">
        <v>49</v>
      </c>
      <c r="AJ4" t="s">
        <v>46</v>
      </c>
    </row>
    <row r="5" spans="1:94" x14ac:dyDescent="0.35">
      <c r="A5" s="1" t="s">
        <v>49</v>
      </c>
      <c r="B5" t="s">
        <v>45</v>
      </c>
      <c r="AI5" s="2" t="s">
        <v>8</v>
      </c>
      <c r="AJ5">
        <v>0</v>
      </c>
    </row>
    <row r="6" spans="1:94" x14ac:dyDescent="0.35">
      <c r="A6" s="2" t="s">
        <v>8</v>
      </c>
      <c r="B6">
        <v>10766</v>
      </c>
      <c r="AI6" s="2" t="s">
        <v>9</v>
      </c>
      <c r="AJ6">
        <v>0</v>
      </c>
      <c r="BF6" s="1" t="s">
        <v>49</v>
      </c>
      <c r="BG6" t="s">
        <v>48</v>
      </c>
    </row>
    <row r="7" spans="1:94" x14ac:dyDescent="0.35">
      <c r="A7" s="2" t="s">
        <v>9</v>
      </c>
      <c r="B7">
        <v>2340676</v>
      </c>
      <c r="AI7" s="2" t="s">
        <v>10</v>
      </c>
      <c r="AJ7">
        <v>0</v>
      </c>
      <c r="BF7" s="2" t="s">
        <v>8</v>
      </c>
      <c r="BG7">
        <v>129</v>
      </c>
    </row>
    <row r="8" spans="1:94" x14ac:dyDescent="0.35">
      <c r="A8" s="2" t="s">
        <v>10</v>
      </c>
      <c r="B8">
        <v>67049</v>
      </c>
      <c r="AI8" s="2" t="s">
        <v>11</v>
      </c>
      <c r="AJ8">
        <v>5</v>
      </c>
      <c r="BF8" s="2" t="s">
        <v>9</v>
      </c>
      <c r="BG8">
        <v>14733</v>
      </c>
    </row>
    <row r="9" spans="1:94" x14ac:dyDescent="0.35">
      <c r="A9" s="2" t="s">
        <v>11</v>
      </c>
      <c r="B9">
        <v>746159</v>
      </c>
      <c r="AI9" s="2" t="s">
        <v>12</v>
      </c>
      <c r="AJ9">
        <v>1</v>
      </c>
      <c r="BF9" s="2" t="s">
        <v>10</v>
      </c>
      <c r="BG9">
        <v>296</v>
      </c>
    </row>
    <row r="10" spans="1:94" x14ac:dyDescent="0.35">
      <c r="A10" s="2" t="s">
        <v>12</v>
      </c>
      <c r="B10">
        <v>855267</v>
      </c>
      <c r="AI10" s="2" t="s">
        <v>13</v>
      </c>
      <c r="AJ10">
        <v>0</v>
      </c>
      <c r="BF10" s="2" t="s">
        <v>11</v>
      </c>
      <c r="BG10">
        <v>8035</v>
      </c>
    </row>
    <row r="11" spans="1:94" x14ac:dyDescent="0.35">
      <c r="A11" s="2" t="s">
        <v>13</v>
      </c>
      <c r="B11">
        <v>100693</v>
      </c>
      <c r="AI11" s="2" t="s">
        <v>14</v>
      </c>
      <c r="AJ11">
        <v>0</v>
      </c>
      <c r="BF11" s="2" t="s">
        <v>12</v>
      </c>
      <c r="BG11">
        <v>12314</v>
      </c>
    </row>
    <row r="12" spans="1:94" x14ac:dyDescent="0.35">
      <c r="A12" s="2" t="s">
        <v>14</v>
      </c>
      <c r="B12">
        <v>1187695</v>
      </c>
      <c r="AI12" s="2" t="s">
        <v>15</v>
      </c>
      <c r="AJ12">
        <v>0</v>
      </c>
      <c r="BF12" s="2" t="s">
        <v>13</v>
      </c>
      <c r="BG12">
        <v>1185</v>
      </c>
    </row>
    <row r="13" spans="1:94" x14ac:dyDescent="0.35">
      <c r="A13" s="2" t="s">
        <v>15</v>
      </c>
      <c r="B13">
        <v>11592</v>
      </c>
      <c r="AI13" s="2" t="s">
        <v>16</v>
      </c>
      <c r="AJ13">
        <v>14</v>
      </c>
      <c r="BF13" s="2" t="s">
        <v>14</v>
      </c>
      <c r="BG13">
        <v>14190</v>
      </c>
    </row>
    <row r="14" spans="1:94" x14ac:dyDescent="0.35">
      <c r="A14" s="2" t="s">
        <v>16</v>
      </c>
      <c r="B14">
        <v>2040910</v>
      </c>
      <c r="AI14" s="2" t="s">
        <v>17</v>
      </c>
      <c r="AJ14">
        <v>3</v>
      </c>
      <c r="BF14" s="2" t="s">
        <v>15</v>
      </c>
      <c r="BG14">
        <v>4</v>
      </c>
      <c r="CM14" s="1" t="s">
        <v>49</v>
      </c>
      <c r="CN14" t="s">
        <v>47</v>
      </c>
      <c r="CO14" t="s">
        <v>48</v>
      </c>
      <c r="CP14" t="s">
        <v>46</v>
      </c>
    </row>
    <row r="15" spans="1:94" x14ac:dyDescent="0.35">
      <c r="A15" s="2" t="s">
        <v>17</v>
      </c>
      <c r="B15">
        <v>263346</v>
      </c>
      <c r="AI15" s="2" t="s">
        <v>18</v>
      </c>
      <c r="AJ15">
        <v>5</v>
      </c>
      <c r="BF15" s="2" t="s">
        <v>16</v>
      </c>
      <c r="BG15">
        <v>26666</v>
      </c>
      <c r="CM15" s="2" t="s">
        <v>8</v>
      </c>
      <c r="CN15">
        <v>10637</v>
      </c>
      <c r="CO15">
        <v>129</v>
      </c>
      <c r="CP15">
        <v>0</v>
      </c>
    </row>
    <row r="16" spans="1:94" x14ac:dyDescent="0.35">
      <c r="A16" s="2" t="s">
        <v>18</v>
      </c>
      <c r="B16">
        <v>1291383</v>
      </c>
      <c r="AI16" s="2" t="s">
        <v>19</v>
      </c>
      <c r="AJ16">
        <v>27</v>
      </c>
      <c r="BF16" s="2" t="s">
        <v>17</v>
      </c>
      <c r="BG16">
        <v>4014</v>
      </c>
      <c r="CM16" s="2" t="s">
        <v>9</v>
      </c>
      <c r="CN16">
        <v>2325943</v>
      </c>
      <c r="CO16">
        <v>14733</v>
      </c>
      <c r="CP16">
        <v>0</v>
      </c>
    </row>
    <row r="17" spans="1:94" x14ac:dyDescent="0.35">
      <c r="A17" s="2" t="s">
        <v>19</v>
      </c>
      <c r="B17">
        <v>1078903</v>
      </c>
      <c r="AI17" s="2" t="s">
        <v>20</v>
      </c>
      <c r="AJ17">
        <v>4</v>
      </c>
      <c r="BF17" s="2" t="s">
        <v>18</v>
      </c>
      <c r="BG17">
        <v>11079</v>
      </c>
      <c r="CM17" s="2" t="s">
        <v>10</v>
      </c>
      <c r="CN17">
        <v>66753</v>
      </c>
      <c r="CO17">
        <v>296</v>
      </c>
      <c r="CP17">
        <v>0</v>
      </c>
    </row>
    <row r="18" spans="1:94" x14ac:dyDescent="0.35">
      <c r="A18" s="2" t="s">
        <v>20</v>
      </c>
      <c r="B18">
        <v>322905</v>
      </c>
      <c r="AI18" s="2" t="s">
        <v>21</v>
      </c>
      <c r="AJ18">
        <v>0</v>
      </c>
      <c r="BF18" s="2" t="s">
        <v>19</v>
      </c>
      <c r="BG18">
        <v>10755</v>
      </c>
      <c r="CM18" s="2" t="s">
        <v>11</v>
      </c>
      <c r="CN18">
        <v>738119</v>
      </c>
      <c r="CO18">
        <v>8035</v>
      </c>
      <c r="CP18">
        <v>5</v>
      </c>
    </row>
    <row r="19" spans="1:94" x14ac:dyDescent="0.35">
      <c r="A19" s="2" t="s">
        <v>21</v>
      </c>
      <c r="B19">
        <v>482023</v>
      </c>
      <c r="AI19" s="2" t="s">
        <v>22</v>
      </c>
      <c r="AJ19">
        <v>1</v>
      </c>
      <c r="BF19" s="2" t="s">
        <v>20</v>
      </c>
      <c r="BG19">
        <v>4241</v>
      </c>
      <c r="CM19" s="2" t="s">
        <v>12</v>
      </c>
      <c r="CN19">
        <v>842952</v>
      </c>
      <c r="CO19">
        <v>12314</v>
      </c>
      <c r="CP19">
        <v>1</v>
      </c>
    </row>
    <row r="20" spans="1:94" x14ac:dyDescent="0.35">
      <c r="A20" s="2" t="s">
        <v>22</v>
      </c>
      <c r="B20">
        <v>443826</v>
      </c>
      <c r="AI20" s="2" t="s">
        <v>23</v>
      </c>
      <c r="AJ20">
        <v>12</v>
      </c>
      <c r="BF20" s="2" t="s">
        <v>21</v>
      </c>
      <c r="BG20">
        <v>4792</v>
      </c>
      <c r="CM20" s="2" t="s">
        <v>13</v>
      </c>
      <c r="CN20">
        <v>99508</v>
      </c>
      <c r="CO20">
        <v>1185</v>
      </c>
      <c r="CP20">
        <v>0</v>
      </c>
    </row>
    <row r="21" spans="1:94" x14ac:dyDescent="0.35">
      <c r="A21" s="2" t="s">
        <v>23</v>
      </c>
      <c r="B21">
        <v>4088769</v>
      </c>
      <c r="AI21" s="2" t="s">
        <v>24</v>
      </c>
      <c r="AJ21">
        <v>18</v>
      </c>
      <c r="BF21" s="2" t="s">
        <v>22</v>
      </c>
      <c r="BG21">
        <v>5334</v>
      </c>
      <c r="CM21" s="2" t="s">
        <v>14</v>
      </c>
      <c r="CN21">
        <v>1173505</v>
      </c>
      <c r="CO21">
        <v>14190</v>
      </c>
      <c r="CP21">
        <v>0</v>
      </c>
    </row>
    <row r="22" spans="1:94" x14ac:dyDescent="0.35">
      <c r="A22" s="2" t="s">
        <v>24</v>
      </c>
      <c r="B22">
        <v>6907241</v>
      </c>
      <c r="AI22" s="2" t="s">
        <v>25</v>
      </c>
      <c r="AJ22">
        <v>0</v>
      </c>
      <c r="BF22" s="2" t="s">
        <v>23</v>
      </c>
      <c r="BG22">
        <v>40358</v>
      </c>
      <c r="CM22" s="2" t="s">
        <v>15</v>
      </c>
      <c r="CN22">
        <v>11588</v>
      </c>
      <c r="CO22">
        <v>4</v>
      </c>
      <c r="CP22">
        <v>0</v>
      </c>
    </row>
    <row r="23" spans="1:94" x14ac:dyDescent="0.35">
      <c r="A23" s="2" t="s">
        <v>25</v>
      </c>
      <c r="B23">
        <v>29602</v>
      </c>
      <c r="AI23" s="2" t="s">
        <v>26</v>
      </c>
      <c r="AJ23">
        <v>0</v>
      </c>
      <c r="BF23" s="2" t="s">
        <v>24</v>
      </c>
      <c r="BG23">
        <v>72042</v>
      </c>
      <c r="CM23" s="2" t="s">
        <v>16</v>
      </c>
      <c r="CN23">
        <v>2014230</v>
      </c>
      <c r="CO23">
        <v>26666</v>
      </c>
      <c r="CP23">
        <v>14</v>
      </c>
    </row>
    <row r="24" spans="1:94" x14ac:dyDescent="0.35">
      <c r="A24" s="2" t="s">
        <v>26</v>
      </c>
      <c r="B24">
        <v>11415</v>
      </c>
      <c r="AI24" s="2" t="s">
        <v>27</v>
      </c>
      <c r="AJ24">
        <v>0</v>
      </c>
      <c r="BF24" s="2" t="s">
        <v>25</v>
      </c>
      <c r="BG24">
        <v>231</v>
      </c>
      <c r="CM24" s="2" t="s">
        <v>17</v>
      </c>
      <c r="CN24">
        <v>259329</v>
      </c>
      <c r="CO24">
        <v>4014</v>
      </c>
      <c r="CP24">
        <v>3</v>
      </c>
    </row>
    <row r="25" spans="1:94" x14ac:dyDescent="0.35">
      <c r="A25" s="2" t="s">
        <v>27</v>
      </c>
      <c r="B25">
        <v>1056351</v>
      </c>
      <c r="AI25" s="2" t="s">
        <v>28</v>
      </c>
      <c r="AJ25">
        <v>214</v>
      </c>
      <c r="BF25" s="2" t="s">
        <v>26</v>
      </c>
      <c r="BG25">
        <v>52</v>
      </c>
      <c r="CM25" s="2" t="s">
        <v>18</v>
      </c>
      <c r="CN25">
        <v>1280299</v>
      </c>
      <c r="CO25">
        <v>11079</v>
      </c>
      <c r="CP25">
        <v>5</v>
      </c>
    </row>
    <row r="26" spans="1:94" x14ac:dyDescent="0.35">
      <c r="A26" s="2" t="s">
        <v>28</v>
      </c>
      <c r="B26">
        <v>8171048</v>
      </c>
      <c r="AI26" s="2" t="s">
        <v>29</v>
      </c>
      <c r="AJ26">
        <v>0</v>
      </c>
      <c r="BF26" s="2" t="s">
        <v>27</v>
      </c>
      <c r="BG26">
        <v>10786</v>
      </c>
      <c r="CM26" s="2" t="s">
        <v>19</v>
      </c>
      <c r="CN26">
        <v>1068121</v>
      </c>
      <c r="CO26">
        <v>10755</v>
      </c>
      <c r="CP26">
        <v>27</v>
      </c>
    </row>
    <row r="27" spans="1:94" x14ac:dyDescent="0.35">
      <c r="A27" s="2" t="s">
        <v>29</v>
      </c>
      <c r="B27">
        <v>140034</v>
      </c>
      <c r="AI27" s="2" t="s">
        <v>30</v>
      </c>
      <c r="AJ27">
        <v>3</v>
      </c>
      <c r="BF27" s="2" t="s">
        <v>28</v>
      </c>
      <c r="BG27">
        <v>148558</v>
      </c>
      <c r="CM27" s="2" t="s">
        <v>20</v>
      </c>
      <c r="CN27">
        <v>318660</v>
      </c>
      <c r="CO27">
        <v>4241</v>
      </c>
      <c r="CP27">
        <v>4</v>
      </c>
    </row>
    <row r="28" spans="1:94" x14ac:dyDescent="0.35">
      <c r="A28" s="2" t="s">
        <v>30</v>
      </c>
      <c r="B28">
        <v>96983</v>
      </c>
      <c r="AI28" s="2" t="s">
        <v>31</v>
      </c>
      <c r="AJ28">
        <v>1</v>
      </c>
      <c r="BF28" s="2" t="s">
        <v>29</v>
      </c>
      <c r="BG28">
        <v>2149</v>
      </c>
      <c r="CM28" s="2" t="s">
        <v>21</v>
      </c>
      <c r="CN28">
        <v>477231</v>
      </c>
      <c r="CO28">
        <v>4792</v>
      </c>
      <c r="CP28">
        <v>0</v>
      </c>
    </row>
    <row r="29" spans="1:94" x14ac:dyDescent="0.35">
      <c r="A29" s="2" t="s">
        <v>31</v>
      </c>
      <c r="B29">
        <v>239560</v>
      </c>
      <c r="AI29" s="2" t="s">
        <v>32</v>
      </c>
      <c r="AJ29">
        <v>0</v>
      </c>
      <c r="BF29" s="2" t="s">
        <v>30</v>
      </c>
      <c r="BG29">
        <v>1628</v>
      </c>
      <c r="CM29" s="2" t="s">
        <v>22</v>
      </c>
      <c r="CN29">
        <v>438491</v>
      </c>
      <c r="CO29">
        <v>5334</v>
      </c>
      <c r="CP29">
        <v>1</v>
      </c>
    </row>
    <row r="30" spans="1:94" x14ac:dyDescent="0.35">
      <c r="A30" s="2" t="s">
        <v>32</v>
      </c>
      <c r="B30">
        <v>36033</v>
      </c>
      <c r="AI30" s="2" t="s">
        <v>33</v>
      </c>
      <c r="AJ30">
        <v>59</v>
      </c>
      <c r="BF30" s="2" t="s">
        <v>31</v>
      </c>
      <c r="BG30">
        <v>734</v>
      </c>
      <c r="CM30" s="2" t="s">
        <v>23</v>
      </c>
      <c r="CN30">
        <v>4048399</v>
      </c>
      <c r="CO30">
        <v>40358</v>
      </c>
      <c r="CP30">
        <v>12</v>
      </c>
    </row>
    <row r="31" spans="1:94" x14ac:dyDescent="0.35">
      <c r="A31" s="2" t="s">
        <v>33</v>
      </c>
      <c r="B31">
        <v>1348409</v>
      </c>
      <c r="AI31" s="2" t="s">
        <v>34</v>
      </c>
      <c r="AJ31">
        <v>0</v>
      </c>
      <c r="BF31" s="2" t="s">
        <v>32</v>
      </c>
      <c r="BG31">
        <v>782</v>
      </c>
      <c r="CM31" s="2" t="s">
        <v>24</v>
      </c>
      <c r="CN31">
        <v>6835181</v>
      </c>
      <c r="CO31">
        <v>72042</v>
      </c>
      <c r="CP31">
        <v>18</v>
      </c>
    </row>
    <row r="32" spans="1:94" x14ac:dyDescent="0.35">
      <c r="A32" s="2" t="s">
        <v>34</v>
      </c>
      <c r="B32">
        <v>177547</v>
      </c>
      <c r="AI32" s="2" t="s">
        <v>35</v>
      </c>
      <c r="AJ32">
        <v>1233</v>
      </c>
      <c r="BF32" s="2" t="s">
        <v>33</v>
      </c>
      <c r="BG32">
        <v>9215</v>
      </c>
      <c r="CM32" s="2" t="s">
        <v>25</v>
      </c>
      <c r="CN32">
        <v>29371</v>
      </c>
      <c r="CO32">
        <v>231</v>
      </c>
      <c r="CP32">
        <v>0</v>
      </c>
    </row>
    <row r="33" spans="1:94" x14ac:dyDescent="0.35">
      <c r="A33" s="2" t="s">
        <v>35</v>
      </c>
      <c r="B33">
        <v>793644</v>
      </c>
      <c r="AI33" s="2" t="s">
        <v>36</v>
      </c>
      <c r="AJ33">
        <v>2</v>
      </c>
      <c r="BF33" s="2" t="s">
        <v>34</v>
      </c>
      <c r="BG33">
        <v>1981</v>
      </c>
      <c r="CM33" s="2" t="s">
        <v>26</v>
      </c>
      <c r="CN33">
        <v>11363</v>
      </c>
      <c r="CO33">
        <v>52</v>
      </c>
      <c r="CP33">
        <v>0</v>
      </c>
    </row>
    <row r="34" spans="1:94" x14ac:dyDescent="0.35">
      <c r="A34" s="2" t="s">
        <v>36</v>
      </c>
      <c r="B34">
        <v>1326465</v>
      </c>
      <c r="AI34" s="2" t="s">
        <v>37</v>
      </c>
      <c r="AJ34">
        <v>4</v>
      </c>
      <c r="BF34" s="2" t="s">
        <v>35</v>
      </c>
      <c r="BG34">
        <v>19338</v>
      </c>
      <c r="CM34" s="2" t="s">
        <v>27</v>
      </c>
      <c r="CN34">
        <v>1045565</v>
      </c>
      <c r="CO34">
        <v>10786</v>
      </c>
      <c r="CP34">
        <v>0</v>
      </c>
    </row>
    <row r="35" spans="1:94" x14ac:dyDescent="0.35">
      <c r="A35" s="2" t="s">
        <v>37</v>
      </c>
      <c r="B35">
        <v>44927</v>
      </c>
      <c r="AI35" s="2" t="s">
        <v>38</v>
      </c>
      <c r="AJ35">
        <v>5</v>
      </c>
      <c r="BF35" s="2" t="s">
        <v>36</v>
      </c>
      <c r="BG35">
        <v>9736</v>
      </c>
      <c r="CM35" s="2" t="s">
        <v>28</v>
      </c>
      <c r="CN35">
        <v>8022276</v>
      </c>
      <c r="CO35">
        <v>148558</v>
      </c>
      <c r="CP35">
        <v>214</v>
      </c>
    </row>
    <row r="36" spans="1:94" x14ac:dyDescent="0.35">
      <c r="A36" s="2" t="s">
        <v>38</v>
      </c>
      <c r="B36">
        <v>3610655</v>
      </c>
      <c r="AI36" s="2" t="s">
        <v>39</v>
      </c>
      <c r="AJ36">
        <v>8</v>
      </c>
      <c r="BF36" s="2" t="s">
        <v>37</v>
      </c>
      <c r="BG36">
        <v>501</v>
      </c>
      <c r="CM36" s="2" t="s">
        <v>29</v>
      </c>
      <c r="CN36">
        <v>137885</v>
      </c>
      <c r="CO36">
        <v>2149</v>
      </c>
      <c r="CP36">
        <v>0</v>
      </c>
    </row>
    <row r="37" spans="1:94" x14ac:dyDescent="0.35">
      <c r="A37" s="2" t="s">
        <v>39</v>
      </c>
      <c r="B37">
        <v>844432</v>
      </c>
      <c r="AI37" s="2" t="s">
        <v>40</v>
      </c>
      <c r="AJ37">
        <v>1</v>
      </c>
      <c r="BF37" s="2" t="s">
        <v>38</v>
      </c>
      <c r="BG37">
        <v>38081</v>
      </c>
      <c r="CM37" s="2" t="s">
        <v>30</v>
      </c>
      <c r="CN37">
        <v>95352</v>
      </c>
      <c r="CO37">
        <v>1628</v>
      </c>
      <c r="CP37">
        <v>3</v>
      </c>
    </row>
    <row r="38" spans="1:94" x14ac:dyDescent="0.35">
      <c r="A38" s="2" t="s">
        <v>40</v>
      </c>
      <c r="B38">
        <v>108493</v>
      </c>
      <c r="AI38" s="2" t="s">
        <v>41</v>
      </c>
      <c r="AJ38">
        <v>57</v>
      </c>
      <c r="BF38" s="2" t="s">
        <v>39</v>
      </c>
      <c r="BG38">
        <v>4111</v>
      </c>
      <c r="CM38" s="2" t="s">
        <v>31</v>
      </c>
      <c r="CN38">
        <v>238825</v>
      </c>
      <c r="CO38">
        <v>734</v>
      </c>
      <c r="CP38">
        <v>1</v>
      </c>
    </row>
    <row r="39" spans="1:94" x14ac:dyDescent="0.35">
      <c r="A39" s="2" t="s">
        <v>41</v>
      </c>
      <c r="B39">
        <v>2145431</v>
      </c>
      <c r="AI39" s="2" t="s">
        <v>42</v>
      </c>
      <c r="AJ39">
        <v>0</v>
      </c>
      <c r="BF39" s="2" t="s">
        <v>40</v>
      </c>
      <c r="BG39">
        <v>942</v>
      </c>
      <c r="CM39" s="2" t="s">
        <v>32</v>
      </c>
      <c r="CN39">
        <v>35251</v>
      </c>
      <c r="CO39">
        <v>782</v>
      </c>
      <c r="CP39">
        <v>0</v>
      </c>
    </row>
    <row r="40" spans="1:94" x14ac:dyDescent="0.35">
      <c r="A40" s="2" t="s">
        <v>42</v>
      </c>
      <c r="B40">
        <v>452571</v>
      </c>
      <c r="AI40" s="2" t="s">
        <v>43</v>
      </c>
      <c r="AJ40">
        <v>135</v>
      </c>
      <c r="BF40" s="2" t="s">
        <v>41</v>
      </c>
      <c r="BG40">
        <v>23712</v>
      </c>
      <c r="CM40" s="2" t="s">
        <v>33</v>
      </c>
      <c r="CN40">
        <v>1339135</v>
      </c>
      <c r="CO40">
        <v>9215</v>
      </c>
      <c r="CP40">
        <v>59</v>
      </c>
    </row>
    <row r="41" spans="1:94" x14ac:dyDescent="0.35">
      <c r="A41" s="2" t="s">
        <v>43</v>
      </c>
      <c r="B41">
        <v>2126282</v>
      </c>
      <c r="AI41" s="2" t="s">
        <v>50</v>
      </c>
      <c r="AJ41">
        <v>1812</v>
      </c>
      <c r="BF41" s="2" t="s">
        <v>42</v>
      </c>
      <c r="BG41">
        <v>7768</v>
      </c>
      <c r="CM41" s="2" t="s">
        <v>34</v>
      </c>
      <c r="CN41">
        <v>175566</v>
      </c>
      <c r="CO41">
        <v>1981</v>
      </c>
      <c r="CP41">
        <v>0</v>
      </c>
    </row>
    <row r="42" spans="1:94" x14ac:dyDescent="0.35">
      <c r="A42" s="2" t="s">
        <v>50</v>
      </c>
      <c r="B42">
        <v>44999085</v>
      </c>
      <c r="BF42" s="2" t="s">
        <v>43</v>
      </c>
      <c r="BG42">
        <v>21555</v>
      </c>
      <c r="CM42" s="2" t="s">
        <v>35</v>
      </c>
      <c r="CN42">
        <v>773073</v>
      </c>
      <c r="CO42">
        <v>19338</v>
      </c>
      <c r="CP42">
        <v>1233</v>
      </c>
    </row>
    <row r="43" spans="1:94" x14ac:dyDescent="0.35">
      <c r="BF43" s="2" t="s">
        <v>50</v>
      </c>
      <c r="BG43">
        <v>532027</v>
      </c>
      <c r="CM43" s="2" t="s">
        <v>36</v>
      </c>
      <c r="CN43">
        <v>1316727</v>
      </c>
      <c r="CO43">
        <v>9736</v>
      </c>
      <c r="CP43">
        <v>2</v>
      </c>
    </row>
    <row r="44" spans="1:94" x14ac:dyDescent="0.35">
      <c r="CM44" s="2" t="s">
        <v>37</v>
      </c>
      <c r="CN44">
        <v>44422</v>
      </c>
      <c r="CO44">
        <v>501</v>
      </c>
      <c r="CP44">
        <v>4</v>
      </c>
    </row>
    <row r="45" spans="1:94" x14ac:dyDescent="0.35">
      <c r="CM45" s="2" t="s">
        <v>38</v>
      </c>
      <c r="CN45">
        <v>3572569</v>
      </c>
      <c r="CO45">
        <v>38081</v>
      </c>
      <c r="CP45">
        <v>5</v>
      </c>
    </row>
    <row r="46" spans="1:94" x14ac:dyDescent="0.35">
      <c r="CM46" s="2" t="s">
        <v>39</v>
      </c>
      <c r="CN46">
        <v>840313</v>
      </c>
      <c r="CO46">
        <v>4111</v>
      </c>
      <c r="CP46">
        <v>8</v>
      </c>
    </row>
    <row r="47" spans="1:94" x14ac:dyDescent="0.35">
      <c r="CM47" s="2" t="s">
        <v>40</v>
      </c>
      <c r="CN47">
        <v>107550</v>
      </c>
      <c r="CO47">
        <v>942</v>
      </c>
      <c r="CP47">
        <v>1</v>
      </c>
    </row>
    <row r="48" spans="1:94" x14ac:dyDescent="0.35">
      <c r="CM48" s="2" t="s">
        <v>41</v>
      </c>
      <c r="CN48">
        <v>2121662</v>
      </c>
      <c r="CO48">
        <v>23712</v>
      </c>
      <c r="CP48">
        <v>57</v>
      </c>
    </row>
    <row r="49" spans="91:94" x14ac:dyDescent="0.35">
      <c r="CM49" s="2" t="s">
        <v>42</v>
      </c>
      <c r="CN49">
        <v>444803</v>
      </c>
      <c r="CO49">
        <v>7768</v>
      </c>
      <c r="CP49">
        <v>0</v>
      </c>
    </row>
    <row r="50" spans="91:94" x14ac:dyDescent="0.35">
      <c r="CM50" s="2" t="s">
        <v>43</v>
      </c>
      <c r="CN50">
        <v>2104592</v>
      </c>
      <c r="CO50">
        <v>21555</v>
      </c>
      <c r="CP50">
        <v>135</v>
      </c>
    </row>
    <row r="51" spans="91:94" x14ac:dyDescent="0.35">
      <c r="CM51" s="2" t="s">
        <v>50</v>
      </c>
      <c r="CN51">
        <v>44465246</v>
      </c>
      <c r="CO51">
        <v>532027</v>
      </c>
      <c r="CP51">
        <v>1812</v>
      </c>
    </row>
    <row r="83" spans="1:2" x14ac:dyDescent="0.35">
      <c r="A83" s="1" t="s">
        <v>49</v>
      </c>
      <c r="B83" t="s">
        <v>47</v>
      </c>
    </row>
    <row r="84" spans="1:2" x14ac:dyDescent="0.35">
      <c r="A84" s="2" t="s">
        <v>8</v>
      </c>
      <c r="B84">
        <v>10637</v>
      </c>
    </row>
    <row r="85" spans="1:2" x14ac:dyDescent="0.35">
      <c r="A85" s="2" t="s">
        <v>9</v>
      </c>
      <c r="B85">
        <v>2325943</v>
      </c>
    </row>
    <row r="86" spans="1:2" x14ac:dyDescent="0.35">
      <c r="A86" s="2" t="s">
        <v>10</v>
      </c>
      <c r="B86">
        <v>66753</v>
      </c>
    </row>
    <row r="87" spans="1:2" x14ac:dyDescent="0.35">
      <c r="A87" s="2" t="s">
        <v>11</v>
      </c>
      <c r="B87">
        <v>738119</v>
      </c>
    </row>
    <row r="88" spans="1:2" x14ac:dyDescent="0.35">
      <c r="A88" s="2" t="s">
        <v>12</v>
      </c>
      <c r="B88">
        <v>842952</v>
      </c>
    </row>
    <row r="89" spans="1:2" x14ac:dyDescent="0.35">
      <c r="A89" s="2" t="s">
        <v>13</v>
      </c>
      <c r="B89">
        <v>99508</v>
      </c>
    </row>
    <row r="90" spans="1:2" x14ac:dyDescent="0.35">
      <c r="A90" s="2" t="s">
        <v>14</v>
      </c>
      <c r="B90">
        <v>1173505</v>
      </c>
    </row>
    <row r="91" spans="1:2" x14ac:dyDescent="0.35">
      <c r="A91" s="2" t="s">
        <v>15</v>
      </c>
      <c r="B91">
        <v>11588</v>
      </c>
    </row>
    <row r="92" spans="1:2" x14ac:dyDescent="0.35">
      <c r="A92" s="2" t="s">
        <v>16</v>
      </c>
      <c r="B92">
        <v>2014230</v>
      </c>
    </row>
    <row r="93" spans="1:2" x14ac:dyDescent="0.35">
      <c r="A93" s="2" t="s">
        <v>17</v>
      </c>
      <c r="B93">
        <v>259329</v>
      </c>
    </row>
    <row r="94" spans="1:2" x14ac:dyDescent="0.35">
      <c r="A94" s="2" t="s">
        <v>18</v>
      </c>
      <c r="B94">
        <v>1280299</v>
      </c>
    </row>
    <row r="95" spans="1:2" x14ac:dyDescent="0.35">
      <c r="A95" s="2" t="s">
        <v>19</v>
      </c>
      <c r="B95">
        <v>1068121</v>
      </c>
    </row>
    <row r="96" spans="1:2" x14ac:dyDescent="0.35">
      <c r="A96" s="2" t="s">
        <v>20</v>
      </c>
      <c r="B96">
        <v>318660</v>
      </c>
    </row>
    <row r="97" spans="1:2" x14ac:dyDescent="0.35">
      <c r="A97" s="2" t="s">
        <v>21</v>
      </c>
      <c r="B97">
        <v>477231</v>
      </c>
    </row>
    <row r="98" spans="1:2" x14ac:dyDescent="0.35">
      <c r="A98" s="2" t="s">
        <v>22</v>
      </c>
      <c r="B98">
        <v>438491</v>
      </c>
    </row>
    <row r="99" spans="1:2" x14ac:dyDescent="0.35">
      <c r="A99" s="2" t="s">
        <v>23</v>
      </c>
      <c r="B99">
        <v>4048399</v>
      </c>
    </row>
    <row r="100" spans="1:2" x14ac:dyDescent="0.35">
      <c r="A100" s="2" t="s">
        <v>24</v>
      </c>
      <c r="B100">
        <v>6835181</v>
      </c>
    </row>
    <row r="101" spans="1:2" x14ac:dyDescent="0.35">
      <c r="A101" s="2" t="s">
        <v>25</v>
      </c>
      <c r="B101">
        <v>29371</v>
      </c>
    </row>
    <row r="102" spans="1:2" x14ac:dyDescent="0.35">
      <c r="A102" s="2" t="s">
        <v>26</v>
      </c>
      <c r="B102">
        <v>11363</v>
      </c>
    </row>
    <row r="103" spans="1:2" x14ac:dyDescent="0.35">
      <c r="A103" s="2" t="s">
        <v>27</v>
      </c>
      <c r="B103">
        <v>1045565</v>
      </c>
    </row>
    <row r="104" spans="1:2" x14ac:dyDescent="0.35">
      <c r="A104" s="2" t="s">
        <v>28</v>
      </c>
      <c r="B104">
        <v>8022276</v>
      </c>
    </row>
    <row r="105" spans="1:2" x14ac:dyDescent="0.35">
      <c r="A105" s="2" t="s">
        <v>29</v>
      </c>
      <c r="B105">
        <v>137885</v>
      </c>
    </row>
    <row r="106" spans="1:2" x14ac:dyDescent="0.35">
      <c r="A106" s="2" t="s">
        <v>30</v>
      </c>
      <c r="B106">
        <v>95352</v>
      </c>
    </row>
    <row r="107" spans="1:2" x14ac:dyDescent="0.35">
      <c r="A107" s="2" t="s">
        <v>31</v>
      </c>
      <c r="B107">
        <v>238825</v>
      </c>
    </row>
    <row r="108" spans="1:2" x14ac:dyDescent="0.35">
      <c r="A108" s="2" t="s">
        <v>32</v>
      </c>
      <c r="B108">
        <v>35251</v>
      </c>
    </row>
    <row r="109" spans="1:2" x14ac:dyDescent="0.35">
      <c r="A109" s="2" t="s">
        <v>33</v>
      </c>
      <c r="B109">
        <v>1339135</v>
      </c>
    </row>
    <row r="110" spans="1:2" x14ac:dyDescent="0.35">
      <c r="A110" s="2" t="s">
        <v>34</v>
      </c>
      <c r="B110">
        <v>175566</v>
      </c>
    </row>
    <row r="111" spans="1:2" x14ac:dyDescent="0.35">
      <c r="A111" s="2" t="s">
        <v>35</v>
      </c>
      <c r="B111">
        <v>773073</v>
      </c>
    </row>
    <row r="112" spans="1:2" x14ac:dyDescent="0.35">
      <c r="A112" s="2" t="s">
        <v>36</v>
      </c>
      <c r="B112">
        <v>1316727</v>
      </c>
    </row>
    <row r="113" spans="1:61" x14ac:dyDescent="0.35">
      <c r="A113" s="2" t="s">
        <v>37</v>
      </c>
      <c r="B113">
        <v>44422</v>
      </c>
    </row>
    <row r="114" spans="1:61" x14ac:dyDescent="0.35">
      <c r="A114" s="2" t="s">
        <v>38</v>
      </c>
      <c r="B114">
        <v>3572569</v>
      </c>
    </row>
    <row r="115" spans="1:61" x14ac:dyDescent="0.35">
      <c r="A115" s="2" t="s">
        <v>39</v>
      </c>
      <c r="B115">
        <v>840313</v>
      </c>
    </row>
    <row r="116" spans="1:61" x14ac:dyDescent="0.35">
      <c r="A116" s="2" t="s">
        <v>40</v>
      </c>
      <c r="B116">
        <v>107550</v>
      </c>
      <c r="BH116" s="1" t="s">
        <v>49</v>
      </c>
      <c r="BI116" t="s">
        <v>65</v>
      </c>
    </row>
    <row r="117" spans="1:61" x14ac:dyDescent="0.35">
      <c r="A117" s="2" t="s">
        <v>41</v>
      </c>
      <c r="B117">
        <v>2121662</v>
      </c>
      <c r="BH117" s="2" t="s">
        <v>62</v>
      </c>
      <c r="BI117">
        <v>2.21</v>
      </c>
    </row>
    <row r="118" spans="1:61" x14ac:dyDescent="0.35">
      <c r="A118" s="2" t="s">
        <v>42</v>
      </c>
      <c r="B118">
        <v>444803</v>
      </c>
      <c r="BH118" s="2" t="s">
        <v>61</v>
      </c>
      <c r="BI118">
        <v>4.33</v>
      </c>
    </row>
    <row r="119" spans="1:61" x14ac:dyDescent="0.35">
      <c r="A119" s="2" t="s">
        <v>43</v>
      </c>
      <c r="B119">
        <v>2104592</v>
      </c>
      <c r="BH119" s="2" t="s">
        <v>58</v>
      </c>
      <c r="BI119">
        <v>1.66</v>
      </c>
    </row>
    <row r="120" spans="1:61" x14ac:dyDescent="0.35">
      <c r="A120" s="2" t="s">
        <v>50</v>
      </c>
      <c r="B120">
        <v>44465246</v>
      </c>
      <c r="BH120" s="2" t="s">
        <v>63</v>
      </c>
      <c r="BI120">
        <v>12.570000000000002</v>
      </c>
    </row>
    <row r="121" spans="1:61" x14ac:dyDescent="0.35">
      <c r="BH121" s="2" t="s">
        <v>60</v>
      </c>
      <c r="BI121">
        <v>9.1999999999999975</v>
      </c>
    </row>
    <row r="122" spans="1:61" x14ac:dyDescent="0.35">
      <c r="BH122" s="2" t="s">
        <v>59</v>
      </c>
      <c r="BI122">
        <v>5.32</v>
      </c>
    </row>
    <row r="123" spans="1:61" x14ac:dyDescent="0.35">
      <c r="BH123" s="2" t="s">
        <v>64</v>
      </c>
      <c r="BI123">
        <v>4.2300000000000004</v>
      </c>
    </row>
    <row r="124" spans="1:61" x14ac:dyDescent="0.35">
      <c r="BH124" s="2" t="s">
        <v>50</v>
      </c>
      <c r="BI124">
        <v>39.519999999999996</v>
      </c>
    </row>
    <row r="162" spans="1:2" x14ac:dyDescent="0.35">
      <c r="A162" s="1" t="s">
        <v>49</v>
      </c>
      <c r="B162" t="s">
        <v>45</v>
      </c>
    </row>
    <row r="163" spans="1:2" x14ac:dyDescent="0.35">
      <c r="A163" s="2" t="s">
        <v>8</v>
      </c>
      <c r="B163">
        <v>10766</v>
      </c>
    </row>
    <row r="164" spans="1:2" x14ac:dyDescent="0.35">
      <c r="A164" s="2" t="s">
        <v>9</v>
      </c>
      <c r="B164">
        <v>2340676</v>
      </c>
    </row>
    <row r="165" spans="1:2" x14ac:dyDescent="0.35">
      <c r="A165" s="2" t="s">
        <v>10</v>
      </c>
      <c r="B165">
        <v>67049</v>
      </c>
    </row>
    <row r="166" spans="1:2" x14ac:dyDescent="0.35">
      <c r="A166" s="2" t="s">
        <v>11</v>
      </c>
      <c r="B166">
        <v>746159</v>
      </c>
    </row>
    <row r="167" spans="1:2" x14ac:dyDescent="0.35">
      <c r="A167" s="2" t="s">
        <v>12</v>
      </c>
      <c r="B167">
        <v>855267</v>
      </c>
    </row>
    <row r="168" spans="1:2" x14ac:dyDescent="0.35">
      <c r="A168" s="2" t="s">
        <v>13</v>
      </c>
      <c r="B168">
        <v>100693</v>
      </c>
    </row>
    <row r="169" spans="1:2" x14ac:dyDescent="0.35">
      <c r="A169" s="2" t="s">
        <v>14</v>
      </c>
      <c r="B169">
        <v>1187695</v>
      </c>
    </row>
    <row r="170" spans="1:2" x14ac:dyDescent="0.35">
      <c r="A170" s="2" t="s">
        <v>15</v>
      </c>
      <c r="B170">
        <v>11592</v>
      </c>
    </row>
    <row r="171" spans="1:2" x14ac:dyDescent="0.35">
      <c r="A171" s="2" t="s">
        <v>16</v>
      </c>
      <c r="B171">
        <v>2040910</v>
      </c>
    </row>
    <row r="172" spans="1:2" x14ac:dyDescent="0.35">
      <c r="A172" s="2" t="s">
        <v>17</v>
      </c>
      <c r="B172">
        <v>263346</v>
      </c>
    </row>
    <row r="173" spans="1:2" x14ac:dyDescent="0.35">
      <c r="A173" s="2" t="s">
        <v>18</v>
      </c>
      <c r="B173">
        <v>1291383</v>
      </c>
    </row>
    <row r="174" spans="1:2" x14ac:dyDescent="0.35">
      <c r="A174" s="2" t="s">
        <v>19</v>
      </c>
      <c r="B174">
        <v>1078903</v>
      </c>
    </row>
    <row r="175" spans="1:2" x14ac:dyDescent="0.35">
      <c r="A175" s="2" t="s">
        <v>20</v>
      </c>
      <c r="B175">
        <v>322905</v>
      </c>
    </row>
    <row r="176" spans="1:2" x14ac:dyDescent="0.35">
      <c r="A176" s="2" t="s">
        <v>21</v>
      </c>
      <c r="B176">
        <v>482023</v>
      </c>
    </row>
    <row r="177" spans="1:68" x14ac:dyDescent="0.35">
      <c r="A177" s="2" t="s">
        <v>22</v>
      </c>
      <c r="B177">
        <v>443826</v>
      </c>
    </row>
    <row r="178" spans="1:68" x14ac:dyDescent="0.35">
      <c r="A178" s="2" t="s">
        <v>23</v>
      </c>
      <c r="B178">
        <v>4088769</v>
      </c>
    </row>
    <row r="179" spans="1:68" x14ac:dyDescent="0.35">
      <c r="A179" s="2" t="s">
        <v>24</v>
      </c>
      <c r="B179">
        <v>6907241</v>
      </c>
    </row>
    <row r="180" spans="1:68" x14ac:dyDescent="0.35">
      <c r="A180" s="2" t="s">
        <v>25</v>
      </c>
      <c r="B180">
        <v>29602</v>
      </c>
    </row>
    <row r="181" spans="1:68" x14ac:dyDescent="0.35">
      <c r="A181" s="2" t="s">
        <v>26</v>
      </c>
      <c r="B181">
        <v>11415</v>
      </c>
    </row>
    <row r="182" spans="1:68" x14ac:dyDescent="0.35">
      <c r="A182" s="2" t="s">
        <v>27</v>
      </c>
      <c r="B182">
        <v>1056351</v>
      </c>
    </row>
    <row r="183" spans="1:68" x14ac:dyDescent="0.35">
      <c r="A183" s="2" t="s">
        <v>28</v>
      </c>
      <c r="B183">
        <v>8171048</v>
      </c>
    </row>
    <row r="184" spans="1:68" x14ac:dyDescent="0.35">
      <c r="A184" s="2" t="s">
        <v>29</v>
      </c>
      <c r="B184">
        <v>140034</v>
      </c>
    </row>
    <row r="185" spans="1:68" x14ac:dyDescent="0.35">
      <c r="A185" s="2" t="s">
        <v>30</v>
      </c>
      <c r="B185">
        <v>96983</v>
      </c>
    </row>
    <row r="186" spans="1:68" x14ac:dyDescent="0.35">
      <c r="A186" s="2" t="s">
        <v>31</v>
      </c>
      <c r="B186">
        <v>239560</v>
      </c>
      <c r="BN186" s="1" t="s">
        <v>49</v>
      </c>
      <c r="BO186" t="s">
        <v>45</v>
      </c>
      <c r="BP186" t="s">
        <v>51</v>
      </c>
    </row>
    <row r="187" spans="1:68" x14ac:dyDescent="0.35">
      <c r="A187" s="2" t="s">
        <v>32</v>
      </c>
      <c r="B187">
        <v>36033</v>
      </c>
      <c r="AJ187" s="1" t="s">
        <v>49</v>
      </c>
      <c r="AK187" t="s">
        <v>48</v>
      </c>
      <c r="BN187" s="2" t="s">
        <v>62</v>
      </c>
      <c r="BO187">
        <v>2244046</v>
      </c>
      <c r="BP187">
        <v>43900064</v>
      </c>
    </row>
    <row r="188" spans="1:68" x14ac:dyDescent="0.35">
      <c r="A188" s="2" t="s">
        <v>33</v>
      </c>
      <c r="B188">
        <v>1348409</v>
      </c>
      <c r="AJ188" s="2" t="s">
        <v>8</v>
      </c>
      <c r="AK188">
        <v>129</v>
      </c>
      <c r="BN188" s="2" t="s">
        <v>61</v>
      </c>
      <c r="BO188">
        <v>4773784</v>
      </c>
      <c r="BP188">
        <v>216505265</v>
      </c>
    </row>
    <row r="189" spans="1:68" x14ac:dyDescent="0.35">
      <c r="A189" s="2" t="s">
        <v>34</v>
      </c>
      <c r="B189">
        <v>177547</v>
      </c>
      <c r="AJ189" s="2" t="s">
        <v>9</v>
      </c>
      <c r="AK189">
        <v>14733</v>
      </c>
      <c r="BN189" s="2" t="s">
        <v>58</v>
      </c>
      <c r="BO189">
        <v>22181</v>
      </c>
      <c r="BP189">
        <v>112596717</v>
      </c>
    </row>
    <row r="190" spans="1:68" x14ac:dyDescent="0.35">
      <c r="A190" s="2" t="s">
        <v>35</v>
      </c>
      <c r="B190">
        <v>793644</v>
      </c>
      <c r="AJ190" s="2" t="s">
        <v>10</v>
      </c>
      <c r="AK190">
        <v>296</v>
      </c>
      <c r="BN190" s="2" t="s">
        <v>63</v>
      </c>
      <c r="BO190">
        <v>8773147</v>
      </c>
      <c r="BP190">
        <v>168847266</v>
      </c>
    </row>
    <row r="191" spans="1:68" x14ac:dyDescent="0.35">
      <c r="A191" s="2" t="s">
        <v>36</v>
      </c>
      <c r="B191">
        <v>1326465</v>
      </c>
      <c r="AJ191" s="2" t="s">
        <v>11</v>
      </c>
      <c r="AK191">
        <v>8035</v>
      </c>
      <c r="BN191" s="2" t="s">
        <v>60</v>
      </c>
      <c r="BO191">
        <v>1479238</v>
      </c>
      <c r="BP191">
        <v>252360356</v>
      </c>
    </row>
    <row r="192" spans="1:68" x14ac:dyDescent="0.35">
      <c r="A192" s="2" t="s">
        <v>37</v>
      </c>
      <c r="B192">
        <v>44927</v>
      </c>
      <c r="AJ192" s="2" t="s">
        <v>12</v>
      </c>
      <c r="AK192">
        <v>12314</v>
      </c>
      <c r="BN192" s="2" t="s">
        <v>59</v>
      </c>
      <c r="BO192">
        <v>17969320</v>
      </c>
      <c r="BP192">
        <v>329586377</v>
      </c>
    </row>
    <row r="193" spans="1:68" x14ac:dyDescent="0.35">
      <c r="A193" s="2" t="s">
        <v>38</v>
      </c>
      <c r="B193">
        <v>3610655</v>
      </c>
      <c r="AJ193" s="2" t="s">
        <v>13</v>
      </c>
      <c r="AK193">
        <v>1185</v>
      </c>
      <c r="BN193" s="2" t="s">
        <v>64</v>
      </c>
      <c r="BO193">
        <v>9737369</v>
      </c>
      <c r="BP193">
        <v>306073835</v>
      </c>
    </row>
    <row r="194" spans="1:68" x14ac:dyDescent="0.35">
      <c r="A194" s="2" t="s">
        <v>39</v>
      </c>
      <c r="B194">
        <v>844432</v>
      </c>
      <c r="AJ194" s="2" t="s">
        <v>14</v>
      </c>
      <c r="AK194">
        <v>14190</v>
      </c>
      <c r="BN194" s="2" t="s">
        <v>50</v>
      </c>
      <c r="BO194">
        <v>44999085</v>
      </c>
      <c r="BP194">
        <v>1429869880</v>
      </c>
    </row>
    <row r="195" spans="1:68" x14ac:dyDescent="0.35">
      <c r="A195" s="2" t="s">
        <v>40</v>
      </c>
      <c r="B195">
        <v>108493</v>
      </c>
      <c r="AJ195" s="2" t="s">
        <v>15</v>
      </c>
      <c r="AK195">
        <v>4</v>
      </c>
    </row>
    <row r="196" spans="1:68" x14ac:dyDescent="0.35">
      <c r="A196" s="2" t="s">
        <v>41</v>
      </c>
      <c r="B196">
        <v>2145431</v>
      </c>
      <c r="AJ196" s="2" t="s">
        <v>16</v>
      </c>
      <c r="AK196">
        <v>26666</v>
      </c>
    </row>
    <row r="197" spans="1:68" x14ac:dyDescent="0.35">
      <c r="A197" s="2" t="s">
        <v>42</v>
      </c>
      <c r="B197">
        <v>452571</v>
      </c>
      <c r="AJ197" s="2" t="s">
        <v>17</v>
      </c>
      <c r="AK197">
        <v>4014</v>
      </c>
    </row>
    <row r="198" spans="1:68" x14ac:dyDescent="0.35">
      <c r="A198" s="2" t="s">
        <v>43</v>
      </c>
      <c r="B198">
        <v>2126282</v>
      </c>
      <c r="AJ198" s="2" t="s">
        <v>18</v>
      </c>
      <c r="AK198">
        <v>11079</v>
      </c>
    </row>
    <row r="199" spans="1:68" x14ac:dyDescent="0.35">
      <c r="A199" s="2" t="s">
        <v>50</v>
      </c>
      <c r="B199">
        <v>44999085</v>
      </c>
      <c r="AJ199" s="2" t="s">
        <v>19</v>
      </c>
      <c r="AK199">
        <v>10755</v>
      </c>
    </row>
    <row r="200" spans="1:68" x14ac:dyDescent="0.35">
      <c r="AJ200" s="2" t="s">
        <v>20</v>
      </c>
      <c r="AK200">
        <v>4241</v>
      </c>
    </row>
    <row r="201" spans="1:68" x14ac:dyDescent="0.35">
      <c r="AJ201" s="2" t="s">
        <v>21</v>
      </c>
      <c r="AK201">
        <v>4792</v>
      </c>
    </row>
    <row r="202" spans="1:68" x14ac:dyDescent="0.35">
      <c r="AJ202" s="2" t="s">
        <v>22</v>
      </c>
      <c r="AK202">
        <v>5334</v>
      </c>
    </row>
    <row r="203" spans="1:68" x14ac:dyDescent="0.35">
      <c r="AJ203" s="2" t="s">
        <v>23</v>
      </c>
      <c r="AK203">
        <v>40358</v>
      </c>
    </row>
    <row r="204" spans="1:68" x14ac:dyDescent="0.35">
      <c r="AJ204" s="2" t="s">
        <v>24</v>
      </c>
      <c r="AK204">
        <v>72042</v>
      </c>
    </row>
    <row r="205" spans="1:68" x14ac:dyDescent="0.35">
      <c r="AJ205" s="2" t="s">
        <v>25</v>
      </c>
      <c r="AK205">
        <v>231</v>
      </c>
    </row>
    <row r="206" spans="1:68" x14ac:dyDescent="0.35">
      <c r="AJ206" s="2" t="s">
        <v>26</v>
      </c>
      <c r="AK206">
        <v>52</v>
      </c>
    </row>
    <row r="207" spans="1:68" x14ac:dyDescent="0.35">
      <c r="AJ207" s="2" t="s">
        <v>27</v>
      </c>
      <c r="AK207">
        <v>10786</v>
      </c>
    </row>
    <row r="208" spans="1:68" x14ac:dyDescent="0.35">
      <c r="AJ208" s="2" t="s">
        <v>28</v>
      </c>
      <c r="AK208">
        <v>148558</v>
      </c>
    </row>
    <row r="209" spans="36:37" x14ac:dyDescent="0.35">
      <c r="AJ209" s="2" t="s">
        <v>29</v>
      </c>
      <c r="AK209">
        <v>2149</v>
      </c>
    </row>
    <row r="210" spans="36:37" x14ac:dyDescent="0.35">
      <c r="AJ210" s="2" t="s">
        <v>30</v>
      </c>
      <c r="AK210">
        <v>1628</v>
      </c>
    </row>
    <row r="211" spans="36:37" x14ac:dyDescent="0.35">
      <c r="AJ211" s="2" t="s">
        <v>31</v>
      </c>
      <c r="AK211">
        <v>734</v>
      </c>
    </row>
    <row r="212" spans="36:37" x14ac:dyDescent="0.35">
      <c r="AJ212" s="2" t="s">
        <v>32</v>
      </c>
      <c r="AK212">
        <v>782</v>
      </c>
    </row>
    <row r="213" spans="36:37" x14ac:dyDescent="0.35">
      <c r="AJ213" s="2" t="s">
        <v>33</v>
      </c>
      <c r="AK213">
        <v>9215</v>
      </c>
    </row>
    <row r="214" spans="36:37" x14ac:dyDescent="0.35">
      <c r="AJ214" s="2" t="s">
        <v>34</v>
      </c>
      <c r="AK214">
        <v>1981</v>
      </c>
    </row>
    <row r="215" spans="36:37" x14ac:dyDescent="0.35">
      <c r="AJ215" s="2" t="s">
        <v>35</v>
      </c>
      <c r="AK215">
        <v>19338</v>
      </c>
    </row>
    <row r="216" spans="36:37" x14ac:dyDescent="0.35">
      <c r="AJ216" s="2" t="s">
        <v>36</v>
      </c>
      <c r="AK216">
        <v>9736</v>
      </c>
    </row>
    <row r="217" spans="36:37" x14ac:dyDescent="0.35">
      <c r="AJ217" s="2" t="s">
        <v>37</v>
      </c>
      <c r="AK217">
        <v>501</v>
      </c>
    </row>
    <row r="218" spans="36:37" x14ac:dyDescent="0.35">
      <c r="AJ218" s="2" t="s">
        <v>38</v>
      </c>
      <c r="AK218">
        <v>38081</v>
      </c>
    </row>
    <row r="219" spans="36:37" x14ac:dyDescent="0.35">
      <c r="AJ219" s="2" t="s">
        <v>39</v>
      </c>
      <c r="AK219">
        <v>4111</v>
      </c>
    </row>
    <row r="220" spans="36:37" x14ac:dyDescent="0.35">
      <c r="AJ220" s="2" t="s">
        <v>40</v>
      </c>
      <c r="AK220">
        <v>942</v>
      </c>
    </row>
    <row r="221" spans="36:37" x14ac:dyDescent="0.35">
      <c r="AJ221" s="2" t="s">
        <v>41</v>
      </c>
      <c r="AK221">
        <v>23712</v>
      </c>
    </row>
    <row r="222" spans="36:37" x14ac:dyDescent="0.35">
      <c r="AJ222" s="2" t="s">
        <v>42</v>
      </c>
      <c r="AK222">
        <v>7768</v>
      </c>
    </row>
    <row r="223" spans="36:37" x14ac:dyDescent="0.35">
      <c r="AJ223" s="2" t="s">
        <v>43</v>
      </c>
      <c r="AK223">
        <v>21555</v>
      </c>
    </row>
    <row r="224" spans="36:37" x14ac:dyDescent="0.35">
      <c r="AJ224" s="2" t="s">
        <v>50</v>
      </c>
      <c r="AK224">
        <v>532027</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CCBD-502D-42A4-93E0-B4DA57CD8E77}">
  <dimension ref="A1"/>
  <sheetViews>
    <sheetView showGridLines="0" tabSelected="1" topLeftCell="A15" zoomScale="30" zoomScaleNormal="37" workbookViewId="0">
      <selection activeCell="AR38" sqref="AR3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COVID-19 MASTER 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mangalapalli rahul</dc:creator>
  <cp:lastModifiedBy>mangalapalli rahul</cp:lastModifiedBy>
  <dcterms:created xsi:type="dcterms:W3CDTF">2026-08-02T18:52:19Z</dcterms:created>
  <dcterms:modified xsi:type="dcterms:W3CDTF">2026-08-06T15:46:33Z</dcterms:modified>
</cp:coreProperties>
</file>